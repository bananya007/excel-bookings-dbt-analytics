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Bookings" sheetId="1" state="visible" r:id="rId1"/>
    <sheet xmlns:r="http://schemas.openxmlformats.org/officeDocument/2006/relationships" name="Rates" sheetId="2" state="visible" r:id="rId2"/>
    <sheet xmlns:r="http://schemas.openxmlformats.org/officeDocument/2006/relationships" name="Rep_Targets" sheetId="3" state="visible" r:id="rId3"/>
    <sheet xmlns:r="http://schemas.openxmlformats.org/officeDocument/2006/relationships" name="Rep_Master" sheetId="4" state="visible" r:id="rId4"/>
    <sheet xmlns:r="http://schemas.openxmlformats.org/officeDocument/2006/relationships" name="Calc" sheetId="5" state="visible" r:id="rId5"/>
    <sheet xmlns:r="http://schemas.openxmlformats.org/officeDocument/2006/relationships" name="Regional_Summary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0.0%"/>
  </numFmts>
  <fonts count="4">
    <font>
      <name val="Calibri"/>
      <family val="2"/>
      <color theme="1"/>
      <sz val="11"/>
      <scheme val="minor"/>
    </font>
    <font>
      <b val="1"/>
      <i val="1"/>
      <color rgb="00808080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horizontal="center"/>
    </xf>
    <xf numFmtId="166" fontId="0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EXPORT - DO NOT EDIT (from CRM, monthly)</t>
        </is>
      </c>
    </row>
    <row r="2">
      <c r="A2" s="2" t="inlineStr">
        <is>
          <t>BookingID</t>
        </is>
      </c>
      <c r="B2" s="2" t="inlineStr">
        <is>
          <t>Booking Date</t>
        </is>
      </c>
      <c r="C2" s="2" t="inlineStr">
        <is>
          <t>Customer</t>
        </is>
      </c>
      <c r="D2" s="2" t="inlineStr">
        <is>
          <t>Region</t>
        </is>
      </c>
      <c r="E2" s="2" t="inlineStr">
        <is>
          <t>Product</t>
        </is>
      </c>
      <c r="F2" s="2" t="inlineStr">
        <is>
          <t>Deal Type</t>
        </is>
      </c>
      <c r="G2" s="2" t="inlineStr">
        <is>
          <t>Sales Rep</t>
        </is>
      </c>
      <c r="H2" s="2" t="inlineStr">
        <is>
          <t>Amount (Local)</t>
        </is>
      </c>
      <c r="I2" s="2" t="inlineStr">
        <is>
          <t>Currency</t>
        </is>
      </c>
    </row>
    <row r="3">
      <c r="A3" t="inlineStr">
        <is>
          <t>BK10311</t>
        </is>
      </c>
      <c r="B3" s="3" t="inlineStr">
        <is>
          <t>04/15/2024</t>
        </is>
      </c>
      <c r="C3" t="inlineStr">
        <is>
          <t>Customer 113</t>
        </is>
      </c>
      <c r="D3" t="inlineStr">
        <is>
          <t>central</t>
        </is>
      </c>
      <c r="E3" t="inlineStr">
        <is>
          <t>AnalyticsAddon</t>
        </is>
      </c>
      <c r="F3" t="inlineStr">
        <is>
          <t>Services</t>
        </is>
      </c>
      <c r="G3" t="inlineStr">
        <is>
          <t>Luis Ortega</t>
        </is>
      </c>
      <c r="H3" t="n">
        <v>139902.51</v>
      </c>
      <c r="I3" t="inlineStr">
        <is>
          <t>INR</t>
        </is>
      </c>
    </row>
    <row r="4">
      <c r="A4" t="inlineStr">
        <is>
          <t>BK10041</t>
        </is>
      </c>
      <c r="B4" s="3" t="inlineStr">
        <is>
          <t>08/15/2024</t>
        </is>
      </c>
      <c r="C4" t="inlineStr">
        <is>
          <t>Customer 045</t>
        </is>
      </c>
      <c r="D4" t="inlineStr">
        <is>
          <t xml:space="preserve">west </t>
        </is>
      </c>
      <c r="E4" t="inlineStr">
        <is>
          <t>AnalyticsAddon</t>
        </is>
      </c>
      <c r="F4" t="inlineStr">
        <is>
          <t>Renewal</t>
        </is>
      </c>
      <c r="G4" t="inlineStr">
        <is>
          <t>Sara Cohen</t>
        </is>
      </c>
      <c r="H4" t="n">
        <v>7188.6</v>
      </c>
      <c r="I4" t="inlineStr">
        <is>
          <t>USD</t>
        </is>
      </c>
    </row>
    <row r="5">
      <c r="A5" t="inlineStr">
        <is>
          <t>BK10034</t>
        </is>
      </c>
      <c r="B5" s="3" t="inlineStr">
        <is>
          <t>06/08/2024</t>
        </is>
      </c>
      <c r="C5" t="inlineStr">
        <is>
          <t>Customer 078</t>
        </is>
      </c>
      <c r="D5" t="inlineStr">
        <is>
          <t>Central</t>
        </is>
      </c>
      <c r="E5" t="inlineStr">
        <is>
          <t>SecuritySuite</t>
        </is>
      </c>
      <c r="F5" t="inlineStr">
        <is>
          <t>Renewal</t>
        </is>
      </c>
      <c r="G5" t="inlineStr">
        <is>
          <t>Luis Ortega</t>
        </is>
      </c>
      <c r="H5" t="n">
        <v>124686.99</v>
      </c>
      <c r="I5" t="inlineStr">
        <is>
          <t>CAD</t>
        </is>
      </c>
    </row>
    <row r="6">
      <c r="A6" t="inlineStr">
        <is>
          <t>BK10161</t>
        </is>
      </c>
      <c r="B6" s="3" t="inlineStr">
        <is>
          <t>06/18/2024</t>
        </is>
      </c>
      <c r="C6" t="inlineStr">
        <is>
          <t>Customer 053</t>
        </is>
      </c>
      <c r="D6" t="inlineStr">
        <is>
          <t>SOUTH</t>
        </is>
      </c>
      <c r="E6" t="inlineStr">
        <is>
          <t>AnalyticsAddon</t>
        </is>
      </c>
      <c r="F6" t="inlineStr">
        <is>
          <t>Services</t>
        </is>
      </c>
      <c r="G6" t="inlineStr">
        <is>
          <t>Priya Sharma</t>
        </is>
      </c>
      <c r="H6" t="n">
        <v>111075.39</v>
      </c>
      <c r="I6" t="inlineStr">
        <is>
          <t>INR</t>
        </is>
      </c>
    </row>
    <row r="7">
      <c r="A7" t="inlineStr">
        <is>
          <t>BK10277</t>
        </is>
      </c>
      <c r="B7" s="3" t="inlineStr">
        <is>
          <t>2025-01-08</t>
        </is>
      </c>
      <c r="C7" t="inlineStr">
        <is>
          <t>Customer 076</t>
        </is>
      </c>
      <c r="D7" t="inlineStr">
        <is>
          <t xml:space="preserve">East </t>
        </is>
      </c>
      <c r="E7" t="inlineStr">
        <is>
          <t>CorePlatform</t>
        </is>
      </c>
      <c r="F7" t="inlineStr">
        <is>
          <t>Services</t>
        </is>
      </c>
      <c r="G7" t="inlineStr">
        <is>
          <t>John Smith</t>
        </is>
      </c>
      <c r="H7" t="n">
        <v>169906.56</v>
      </c>
      <c r="I7" t="inlineStr">
        <is>
          <t>USD</t>
        </is>
      </c>
    </row>
    <row r="8">
      <c r="A8" t="inlineStr">
        <is>
          <t>BK10318</t>
        </is>
      </c>
      <c r="B8" s="3" t="inlineStr">
        <is>
          <t>04/27/2025</t>
        </is>
      </c>
      <c r="C8" t="inlineStr">
        <is>
          <t>Customer 076</t>
        </is>
      </c>
      <c r="D8" t="inlineStr">
        <is>
          <t>East</t>
        </is>
      </c>
      <c r="E8" t="inlineStr">
        <is>
          <t>CorePlatform</t>
        </is>
      </c>
      <c r="F8" t="inlineStr">
        <is>
          <t>Support</t>
        </is>
      </c>
      <c r="G8" t="inlineStr">
        <is>
          <t>John Smith</t>
        </is>
      </c>
      <c r="H8" t="n">
        <v>41186.5</v>
      </c>
      <c r="I8" t="inlineStr">
        <is>
          <t>CAD</t>
        </is>
      </c>
    </row>
    <row r="9">
      <c r="A9" t="inlineStr">
        <is>
          <t>BK10323</t>
        </is>
      </c>
      <c r="B9" s="3" t="inlineStr">
        <is>
          <t>06/16/2024</t>
        </is>
      </c>
      <c r="C9" t="inlineStr">
        <is>
          <t>Customer 067</t>
        </is>
      </c>
      <c r="D9" t="inlineStr">
        <is>
          <t>south</t>
        </is>
      </c>
      <c r="E9" t="inlineStr">
        <is>
          <t>SecuritySuite</t>
        </is>
      </c>
      <c r="F9" t="inlineStr">
        <is>
          <t>Renewal</t>
        </is>
      </c>
      <c r="G9" t="inlineStr">
        <is>
          <t>Anna Kowalski</t>
        </is>
      </c>
      <c r="H9" t="n">
        <v>68820.89</v>
      </c>
      <c r="I9" t="inlineStr">
        <is>
          <t>INR</t>
        </is>
      </c>
    </row>
    <row r="10">
      <c r="A10" t="inlineStr">
        <is>
          <t>BK10260</t>
        </is>
      </c>
      <c r="B10" s="3" t="inlineStr">
        <is>
          <t>2024-02-02</t>
        </is>
      </c>
      <c r="C10" t="inlineStr">
        <is>
          <t>Customer 049</t>
        </is>
      </c>
      <c r="D10" t="inlineStr">
        <is>
          <t>EAST</t>
        </is>
      </c>
      <c r="E10" t="inlineStr">
        <is>
          <t>DataConnect</t>
        </is>
      </c>
      <c r="F10" t="inlineStr">
        <is>
          <t>New License</t>
        </is>
      </c>
      <c r="G10" t="inlineStr">
        <is>
          <t>Tom Becker</t>
        </is>
      </c>
      <c r="H10" t="n">
        <v>115704.41</v>
      </c>
      <c r="I10" t="inlineStr">
        <is>
          <t>GBP</t>
        </is>
      </c>
    </row>
    <row r="11">
      <c r="A11" t="inlineStr">
        <is>
          <t>BK10074</t>
        </is>
      </c>
      <c r="B11" s="3" t="inlineStr">
        <is>
          <t>11/09/2024</t>
        </is>
      </c>
      <c r="C11" t="inlineStr">
        <is>
          <t>Customer 071</t>
        </is>
      </c>
      <c r="D11" t="inlineStr">
        <is>
          <t xml:space="preserve">Central </t>
        </is>
      </c>
      <c r="E11" t="inlineStr">
        <is>
          <t>SecuritySuite</t>
        </is>
      </c>
      <c r="F11" t="inlineStr">
        <is>
          <t>Services</t>
        </is>
      </c>
      <c r="G11" t="inlineStr">
        <is>
          <t>Luis Ortega</t>
        </is>
      </c>
      <c r="H11" t="n">
        <v>179403.77</v>
      </c>
      <c r="I11" t="inlineStr">
        <is>
          <t>EUR</t>
        </is>
      </c>
    </row>
    <row r="12">
      <c r="A12" t="inlineStr">
        <is>
          <t>BK10018</t>
        </is>
      </c>
      <c r="B12" s="3" t="inlineStr">
        <is>
          <t>2024-09-10</t>
        </is>
      </c>
      <c r="C12" t="inlineStr">
        <is>
          <t>Customer 044</t>
        </is>
      </c>
      <c r="D12" t="inlineStr">
        <is>
          <t>West</t>
        </is>
      </c>
      <c r="E12" t="inlineStr">
        <is>
          <t>AnalyticsAddon</t>
        </is>
      </c>
      <c r="F12" t="inlineStr">
        <is>
          <t>Renewal</t>
        </is>
      </c>
      <c r="G12" t="inlineStr">
        <is>
          <t>Maria Garcia</t>
        </is>
      </c>
      <c r="H12" t="n">
        <v>4272.78</v>
      </c>
      <c r="I12" t="inlineStr">
        <is>
          <t>GBP</t>
        </is>
      </c>
    </row>
    <row r="13">
      <c r="A13" t="inlineStr">
        <is>
          <t>BK10274</t>
        </is>
      </c>
      <c r="B13" s="4" t="n">
        <v>45697</v>
      </c>
      <c r="C13" t="inlineStr">
        <is>
          <t>Customer 103</t>
        </is>
      </c>
      <c r="D13" t="inlineStr">
        <is>
          <t>central</t>
        </is>
      </c>
      <c r="E13" t="inlineStr">
        <is>
          <t>DataConnect</t>
        </is>
      </c>
      <c r="F13" t="inlineStr">
        <is>
          <t>Support</t>
        </is>
      </c>
      <c r="G13" t="inlineStr">
        <is>
          <t>Luis Ortega</t>
        </is>
      </c>
      <c r="H13" t="n">
        <v>79219.07000000001</v>
      </c>
      <c r="I13" t="inlineStr">
        <is>
          <t>INR</t>
        </is>
      </c>
    </row>
    <row r="14">
      <c r="A14" t="inlineStr">
        <is>
          <t>BK10235</t>
        </is>
      </c>
      <c r="B14" s="4" t="n">
        <v>45585</v>
      </c>
      <c r="C14" t="inlineStr">
        <is>
          <t>Customer 099</t>
        </is>
      </c>
      <c r="D14" t="inlineStr">
        <is>
          <t>South</t>
        </is>
      </c>
      <c r="E14" t="inlineStr">
        <is>
          <t>DataConnect</t>
        </is>
      </c>
      <c r="F14" t="inlineStr">
        <is>
          <t>Support</t>
        </is>
      </c>
      <c r="G14" t="inlineStr">
        <is>
          <t>Priya Sharma</t>
        </is>
      </c>
      <c r="H14" t="n">
        <v>178735.62</v>
      </c>
      <c r="I14" t="inlineStr">
        <is>
          <t>USD</t>
        </is>
      </c>
    </row>
    <row r="15">
      <c r="A15" t="inlineStr">
        <is>
          <t>BK10168</t>
        </is>
      </c>
      <c r="B15" s="4" t="n">
        <v>45635</v>
      </c>
      <c r="C15" t="inlineStr">
        <is>
          <t>Customer 005</t>
        </is>
      </c>
      <c r="D15" t="inlineStr">
        <is>
          <t xml:space="preserve">west </t>
        </is>
      </c>
      <c r="E15" t="inlineStr">
        <is>
          <t>DataConnect</t>
        </is>
      </c>
      <c r="F15" t="inlineStr">
        <is>
          <t>Renewal</t>
        </is>
      </c>
      <c r="G15" t="inlineStr">
        <is>
          <t>Maria Garcia</t>
        </is>
      </c>
      <c r="H15" t="n">
        <v>137314.88</v>
      </c>
      <c r="I15" t="inlineStr">
        <is>
          <t>EUR</t>
        </is>
      </c>
    </row>
    <row r="16">
      <c r="A16" t="inlineStr">
        <is>
          <t>BK10197</t>
        </is>
      </c>
      <c r="B16" s="4" t="n">
        <v>45453</v>
      </c>
      <c r="C16" t="inlineStr">
        <is>
          <t>Customer 062</t>
        </is>
      </c>
      <c r="D16" t="inlineStr">
        <is>
          <t>SOUTH</t>
        </is>
      </c>
      <c r="E16" t="inlineStr">
        <is>
          <t>AnalyticsAddon</t>
        </is>
      </c>
      <c r="F16" t="inlineStr">
        <is>
          <t>Support</t>
        </is>
      </c>
      <c r="G16" t="inlineStr">
        <is>
          <t>Anna Kowalski</t>
        </is>
      </c>
      <c r="H16" t="n">
        <v>110378.87</v>
      </c>
      <c r="I16" t="inlineStr">
        <is>
          <t>USD</t>
        </is>
      </c>
    </row>
    <row r="17">
      <c r="A17" t="inlineStr">
        <is>
          <t>BK10036</t>
        </is>
      </c>
      <c r="B17" s="4" t="n">
        <v>45633</v>
      </c>
      <c r="C17" t="inlineStr">
        <is>
          <t>Customer 021</t>
        </is>
      </c>
      <c r="D17" t="inlineStr">
        <is>
          <t>West</t>
        </is>
      </c>
      <c r="E17" t="inlineStr">
        <is>
          <t>DataConnect</t>
        </is>
      </c>
      <c r="F17" t="inlineStr">
        <is>
          <t>Services</t>
        </is>
      </c>
      <c r="G17" t="inlineStr">
        <is>
          <t>Sara Cohen</t>
        </is>
      </c>
      <c r="H17" t="n">
        <v>102280.52</v>
      </c>
      <c r="I17" t="inlineStr">
        <is>
          <t>USD</t>
        </is>
      </c>
    </row>
    <row r="18">
      <c r="A18" t="inlineStr">
        <is>
          <t>BK10232</t>
        </is>
      </c>
      <c r="B18" s="4" t="n">
        <v>45792</v>
      </c>
      <c r="C18" t="inlineStr">
        <is>
          <t>Customer 104</t>
        </is>
      </c>
      <c r="D18" t="inlineStr">
        <is>
          <t>East</t>
        </is>
      </c>
      <c r="E18" t="inlineStr">
        <is>
          <t>DataConnect</t>
        </is>
      </c>
      <c r="F18" t="inlineStr">
        <is>
          <t>Renewal</t>
        </is>
      </c>
      <c r="G18" t="inlineStr">
        <is>
          <t>Tom Becker</t>
        </is>
      </c>
      <c r="H18" t="n">
        <v>93844.87</v>
      </c>
      <c r="I18" t="inlineStr">
        <is>
          <t>EUR</t>
        </is>
      </c>
    </row>
    <row r="19">
      <c r="A19" t="inlineStr">
        <is>
          <t>BK10073</t>
        </is>
      </c>
      <c r="B19" s="4" t="n">
        <v>45779</v>
      </c>
      <c r="C19" t="inlineStr">
        <is>
          <t>Customer 102</t>
        </is>
      </c>
      <c r="D19" t="inlineStr">
        <is>
          <t>South</t>
        </is>
      </c>
      <c r="E19" t="inlineStr">
        <is>
          <t>CorePlatform</t>
        </is>
      </c>
      <c r="F19" t="inlineStr">
        <is>
          <t>Support</t>
        </is>
      </c>
      <c r="G19" t="inlineStr">
        <is>
          <t>Anna Kowalski</t>
        </is>
      </c>
      <c r="H19" t="n">
        <v>42222.56</v>
      </c>
      <c r="I19" t="inlineStr">
        <is>
          <t>GBP</t>
        </is>
      </c>
    </row>
    <row r="20">
      <c r="A20" t="inlineStr">
        <is>
          <t>BK10256</t>
        </is>
      </c>
      <c r="B20" s="3" t="inlineStr">
        <is>
          <t>01/17/2025</t>
        </is>
      </c>
      <c r="C20" t="inlineStr">
        <is>
          <t>Customer 085</t>
        </is>
      </c>
      <c r="D20" t="inlineStr">
        <is>
          <t>EAST</t>
        </is>
      </c>
      <c r="E20" t="inlineStr">
        <is>
          <t>CorePlatform</t>
        </is>
      </c>
      <c r="F20" t="inlineStr">
        <is>
          <t>New License</t>
        </is>
      </c>
      <c r="G20" t="inlineStr">
        <is>
          <t>Tom Becker</t>
        </is>
      </c>
      <c r="H20" t="n">
        <v>97201.61</v>
      </c>
      <c r="I20" t="inlineStr">
        <is>
          <t>EUR</t>
        </is>
      </c>
    </row>
    <row r="21">
      <c r="A21" t="inlineStr">
        <is>
          <t>BK10039</t>
        </is>
      </c>
      <c r="B21" s="3" t="inlineStr">
        <is>
          <t>2025-02-20</t>
        </is>
      </c>
      <c r="C21" t="inlineStr">
        <is>
          <t>Customer 111</t>
        </is>
      </c>
      <c r="D21" t="inlineStr">
        <is>
          <t>West</t>
        </is>
      </c>
      <c r="E21" t="inlineStr">
        <is>
          <t>AnalyticsAddon</t>
        </is>
      </c>
      <c r="F21" t="inlineStr">
        <is>
          <t>Services</t>
        </is>
      </c>
      <c r="G21" t="inlineStr">
        <is>
          <t>Maria Garcia</t>
        </is>
      </c>
      <c r="H21" t="n">
        <v>7387.19</v>
      </c>
      <c r="I21" t="inlineStr">
        <is>
          <t>INR</t>
        </is>
      </c>
    </row>
    <row r="22">
      <c r="A22" t="inlineStr">
        <is>
          <t>BK10369</t>
        </is>
      </c>
      <c r="B22" s="3" t="inlineStr">
        <is>
          <t>01/31/2025</t>
        </is>
      </c>
      <c r="C22" t="inlineStr">
        <is>
          <t>Customer 114</t>
        </is>
      </c>
      <c r="D22" t="inlineStr">
        <is>
          <t xml:space="preserve">west </t>
        </is>
      </c>
      <c r="E22" t="inlineStr">
        <is>
          <t>SecuritySuite</t>
        </is>
      </c>
      <c r="F22" t="inlineStr">
        <is>
          <t>Renewal</t>
        </is>
      </c>
      <c r="G22" t="inlineStr">
        <is>
          <t>Sara Cohen</t>
        </is>
      </c>
      <c r="H22" t="n">
        <v>81902.22</v>
      </c>
      <c r="I22" t="inlineStr">
        <is>
          <t>USD</t>
        </is>
      </c>
    </row>
    <row r="23">
      <c r="A23" t="inlineStr">
        <is>
          <t>BK10335</t>
        </is>
      </c>
      <c r="B23" s="4" t="n">
        <v>45824</v>
      </c>
      <c r="C23" t="inlineStr">
        <is>
          <t>Customer 059</t>
        </is>
      </c>
      <c r="D23" t="inlineStr">
        <is>
          <t>south</t>
        </is>
      </c>
      <c r="E23" t="inlineStr">
        <is>
          <t>CorePlatform</t>
        </is>
      </c>
      <c r="F23" t="inlineStr">
        <is>
          <t>New License</t>
        </is>
      </c>
      <c r="G23" t="inlineStr">
        <is>
          <t>Anna Kowalski</t>
        </is>
      </c>
      <c r="H23" t="n">
        <v>92460.71000000001</v>
      </c>
      <c r="I23" t="inlineStr">
        <is>
          <t>GBP</t>
        </is>
      </c>
    </row>
    <row r="24">
      <c r="A24" t="inlineStr">
        <is>
          <t>BK10090</t>
        </is>
      </c>
      <c r="B24" s="4" t="n">
        <v>45399</v>
      </c>
      <c r="C24" t="inlineStr">
        <is>
          <t>Customer 053</t>
        </is>
      </c>
      <c r="D24" t="inlineStr">
        <is>
          <t>West</t>
        </is>
      </c>
      <c r="E24" t="inlineStr">
        <is>
          <t>DataConnect</t>
        </is>
      </c>
      <c r="F24" t="inlineStr">
        <is>
          <t>Support</t>
        </is>
      </c>
      <c r="G24" t="inlineStr">
        <is>
          <t>Sara Cohen</t>
        </is>
      </c>
      <c r="H24" t="n">
        <v>120277.29</v>
      </c>
      <c r="I24" t="inlineStr">
        <is>
          <t>EUR</t>
        </is>
      </c>
    </row>
    <row r="25">
      <c r="A25" t="inlineStr">
        <is>
          <t>BK10341</t>
        </is>
      </c>
      <c r="B25" s="3" t="inlineStr">
        <is>
          <t>11/02/2024</t>
        </is>
      </c>
      <c r="C25" t="inlineStr">
        <is>
          <t>Customer 004</t>
        </is>
      </c>
      <c r="D25" t="inlineStr">
        <is>
          <t>central</t>
        </is>
      </c>
      <c r="E25" t="inlineStr">
        <is>
          <t>DataConnect</t>
        </is>
      </c>
      <c r="F25" t="inlineStr">
        <is>
          <t>Renewal</t>
        </is>
      </c>
      <c r="G25" t="inlineStr">
        <is>
          <t>Wei Chen</t>
        </is>
      </c>
      <c r="H25" t="n">
        <v>19766.37</v>
      </c>
      <c r="I25" t="inlineStr">
        <is>
          <t>USD</t>
        </is>
      </c>
    </row>
    <row r="26">
      <c r="A26" t="inlineStr">
        <is>
          <t>BK10371</t>
        </is>
      </c>
      <c r="B26" s="4" t="n">
        <v>45379</v>
      </c>
      <c r="C26" t="inlineStr">
        <is>
          <t>Customer 097</t>
        </is>
      </c>
      <c r="D26" t="inlineStr">
        <is>
          <t xml:space="preserve">Central </t>
        </is>
      </c>
      <c r="E26" t="inlineStr">
        <is>
          <t>AnalyticsAddon</t>
        </is>
      </c>
      <c r="F26" t="inlineStr">
        <is>
          <t>New License</t>
        </is>
      </c>
      <c r="G26" t="inlineStr">
        <is>
          <t>Luis Ortega</t>
        </is>
      </c>
      <c r="H26" t="n">
        <v>151821.1</v>
      </c>
      <c r="I26" t="inlineStr">
        <is>
          <t>INR</t>
        </is>
      </c>
    </row>
    <row r="27">
      <c r="A27" t="inlineStr">
        <is>
          <t>BK10259</t>
        </is>
      </c>
      <c r="B27" s="3" t="inlineStr">
        <is>
          <t>01/17/2025</t>
        </is>
      </c>
      <c r="C27" t="inlineStr">
        <is>
          <t>Customer 073</t>
        </is>
      </c>
      <c r="D27" t="inlineStr">
        <is>
          <t>South</t>
        </is>
      </c>
      <c r="E27" t="inlineStr">
        <is>
          <t>AnalyticsAddon</t>
        </is>
      </c>
      <c r="F27" t="inlineStr">
        <is>
          <t>Support</t>
        </is>
      </c>
      <c r="G27" t="inlineStr">
        <is>
          <t>Anna Kowalski</t>
        </is>
      </c>
      <c r="H27" t="n">
        <v>124075.37</v>
      </c>
      <c r="I27" t="inlineStr">
        <is>
          <t>CAD</t>
        </is>
      </c>
    </row>
    <row r="28">
      <c r="A28" t="inlineStr">
        <is>
          <t>BK10338</t>
        </is>
      </c>
      <c r="B28" s="4" t="n">
        <v>45403</v>
      </c>
      <c r="C28" t="inlineStr">
        <is>
          <t>Customer 022</t>
        </is>
      </c>
      <c r="D28" t="inlineStr">
        <is>
          <t xml:space="preserve">west </t>
        </is>
      </c>
      <c r="E28" t="inlineStr">
        <is>
          <t>DataConnect</t>
        </is>
      </c>
      <c r="F28" t="inlineStr">
        <is>
          <t>Support</t>
        </is>
      </c>
      <c r="G28" t="inlineStr">
        <is>
          <t>Maria Garcia</t>
        </is>
      </c>
      <c r="H28" t="n">
        <v>74952.72</v>
      </c>
      <c r="I28" t="inlineStr">
        <is>
          <t>EUR</t>
        </is>
      </c>
    </row>
    <row r="29">
      <c r="A29" t="inlineStr">
        <is>
          <t>BK10399</t>
        </is>
      </c>
      <c r="B29" s="4" t="n">
        <v>45374</v>
      </c>
      <c r="C29" t="inlineStr">
        <is>
          <t>Customer 081</t>
        </is>
      </c>
      <c r="D29" t="inlineStr">
        <is>
          <t>South</t>
        </is>
      </c>
      <c r="E29" t="inlineStr">
        <is>
          <t>SecuritySuite</t>
        </is>
      </c>
      <c r="F29" t="inlineStr">
        <is>
          <t>New License</t>
        </is>
      </c>
      <c r="G29" t="inlineStr">
        <is>
          <t>Anna Kowalski</t>
        </is>
      </c>
      <c r="H29" t="n">
        <v>3834.29</v>
      </c>
      <c r="I29" t="inlineStr">
        <is>
          <t>USD</t>
        </is>
      </c>
    </row>
    <row r="30">
      <c r="A30" t="inlineStr">
        <is>
          <t>BK10093</t>
        </is>
      </c>
      <c r="B30" s="3" t="inlineStr">
        <is>
          <t>03/28/2025</t>
        </is>
      </c>
      <c r="C30" t="inlineStr">
        <is>
          <t>Customer 035</t>
        </is>
      </c>
      <c r="D30" t="inlineStr">
        <is>
          <t xml:space="preserve">East </t>
        </is>
      </c>
      <c r="E30" t="inlineStr">
        <is>
          <t>SecuritySuite</t>
        </is>
      </c>
      <c r="F30" t="inlineStr">
        <is>
          <t>Services</t>
        </is>
      </c>
      <c r="G30" t="inlineStr">
        <is>
          <t>John Smith</t>
        </is>
      </c>
      <c r="H30" t="n">
        <v>158909.85</v>
      </c>
      <c r="I30" t="inlineStr">
        <is>
          <t>EUR</t>
        </is>
      </c>
    </row>
    <row r="31">
      <c r="A31" t="inlineStr">
        <is>
          <t>BK10263</t>
        </is>
      </c>
      <c r="B31" s="3" t="inlineStr">
        <is>
          <t>01/17/2024</t>
        </is>
      </c>
      <c r="C31" t="inlineStr">
        <is>
          <t>Customer 097</t>
        </is>
      </c>
      <c r="D31" t="inlineStr">
        <is>
          <t>West</t>
        </is>
      </c>
      <c r="E31" t="inlineStr">
        <is>
          <t>DataConnect</t>
        </is>
      </c>
      <c r="F31" t="inlineStr">
        <is>
          <t>New License</t>
        </is>
      </c>
      <c r="G31" t="inlineStr">
        <is>
          <t>Maria Garcia</t>
        </is>
      </c>
      <c r="H31" t="n">
        <v>55972.01</v>
      </c>
      <c r="I31" t="inlineStr">
        <is>
          <t>EUR</t>
        </is>
      </c>
    </row>
    <row r="32">
      <c r="A32" t="inlineStr">
        <is>
          <t>BK10356</t>
        </is>
      </c>
      <c r="B32" s="3" t="inlineStr">
        <is>
          <t>06/10/2024</t>
        </is>
      </c>
      <c r="C32" t="inlineStr">
        <is>
          <t>Customer 084</t>
        </is>
      </c>
      <c r="D32" t="inlineStr">
        <is>
          <t>SOUTH</t>
        </is>
      </c>
      <c r="E32" t="inlineStr">
        <is>
          <t>AnalyticsAddon</t>
        </is>
      </c>
      <c r="F32" t="inlineStr">
        <is>
          <t>Support</t>
        </is>
      </c>
      <c r="G32" t="inlineStr">
        <is>
          <t>Anna Kowalski</t>
        </is>
      </c>
      <c r="H32" t="n">
        <v>42512.99</v>
      </c>
      <c r="I32" t="inlineStr">
        <is>
          <t>EUR</t>
        </is>
      </c>
    </row>
    <row r="33">
      <c r="A33" t="inlineStr">
        <is>
          <t>BK10072</t>
        </is>
      </c>
      <c r="B33" s="4" t="n">
        <v>45574</v>
      </c>
      <c r="C33" t="inlineStr">
        <is>
          <t>Customer 011</t>
        </is>
      </c>
      <c r="D33" t="inlineStr">
        <is>
          <t xml:space="preserve">East </t>
        </is>
      </c>
      <c r="E33" t="inlineStr">
        <is>
          <t>DataConnect</t>
        </is>
      </c>
      <c r="F33" t="inlineStr">
        <is>
          <t>Services</t>
        </is>
      </c>
      <c r="G33" t="inlineStr">
        <is>
          <t>John Smith</t>
        </is>
      </c>
      <c r="H33" t="n">
        <v>101266.19</v>
      </c>
      <c r="I33" t="inlineStr">
        <is>
          <t>USD</t>
        </is>
      </c>
    </row>
    <row r="34">
      <c r="A34" t="inlineStr">
        <is>
          <t>BK10044</t>
        </is>
      </c>
      <c r="B34" s="3" t="inlineStr">
        <is>
          <t>12/19/2024</t>
        </is>
      </c>
      <c r="C34" t="inlineStr">
        <is>
          <t>Customer 078</t>
        </is>
      </c>
      <c r="D34" t="inlineStr">
        <is>
          <t xml:space="preserve">Central </t>
        </is>
      </c>
      <c r="E34" t="inlineStr">
        <is>
          <t>CorePlatform</t>
        </is>
      </c>
      <c r="F34" t="inlineStr">
        <is>
          <t>Services</t>
        </is>
      </c>
      <c r="G34" t="inlineStr">
        <is>
          <t>Luis Ortega</t>
        </is>
      </c>
      <c r="H34" t="n">
        <v>162212.34</v>
      </c>
      <c r="I34" t="inlineStr">
        <is>
          <t>USD</t>
        </is>
      </c>
    </row>
    <row r="35">
      <c r="A35" t="inlineStr">
        <is>
          <t>BK10139</t>
        </is>
      </c>
      <c r="B35" s="4" t="n">
        <v>45378</v>
      </c>
      <c r="C35" t="inlineStr">
        <is>
          <t>Customer 021</t>
        </is>
      </c>
      <c r="D35" t="inlineStr">
        <is>
          <t>East</t>
        </is>
      </c>
      <c r="E35" t="inlineStr">
        <is>
          <t>CorePlatform</t>
        </is>
      </c>
      <c r="F35" t="inlineStr">
        <is>
          <t>Support</t>
        </is>
      </c>
      <c r="G35" t="inlineStr">
        <is>
          <t>John Smith</t>
        </is>
      </c>
      <c r="H35" t="n">
        <v>81431</v>
      </c>
      <c r="I35" t="inlineStr">
        <is>
          <t>EUR</t>
        </is>
      </c>
    </row>
    <row r="36">
      <c r="A36" t="inlineStr">
        <is>
          <t>BK10064</t>
        </is>
      </c>
      <c r="B36" s="3" t="inlineStr">
        <is>
          <t>01/21/2024</t>
        </is>
      </c>
      <c r="C36" t="inlineStr">
        <is>
          <t>Customer 017</t>
        </is>
      </c>
      <c r="D36" t="inlineStr">
        <is>
          <t xml:space="preserve">west </t>
        </is>
      </c>
      <c r="E36" t="inlineStr">
        <is>
          <t>CorePlatform</t>
        </is>
      </c>
      <c r="F36" t="inlineStr">
        <is>
          <t>Renewal</t>
        </is>
      </c>
      <c r="G36" t="inlineStr">
        <is>
          <t>Maria Garcia</t>
        </is>
      </c>
      <c r="H36" t="n">
        <v>85311.02</v>
      </c>
      <c r="I36" t="inlineStr">
        <is>
          <t>USD</t>
        </is>
      </c>
    </row>
    <row r="37">
      <c r="A37" t="inlineStr">
        <is>
          <t>BK10062</t>
        </is>
      </c>
      <c r="B37" s="3" t="inlineStr">
        <is>
          <t>04/10/2025</t>
        </is>
      </c>
      <c r="C37" t="inlineStr">
        <is>
          <t>Customer 098</t>
        </is>
      </c>
      <c r="D37" t="inlineStr">
        <is>
          <t>central</t>
        </is>
      </c>
      <c r="E37" t="inlineStr">
        <is>
          <t>SecuritySuite</t>
        </is>
      </c>
      <c r="F37" t="inlineStr">
        <is>
          <t>Services</t>
        </is>
      </c>
      <c r="G37" t="inlineStr">
        <is>
          <t>Luis Ortega</t>
        </is>
      </c>
      <c r="H37" t="n">
        <v>47652.06</v>
      </c>
      <c r="I37" t="inlineStr">
        <is>
          <t>USD</t>
        </is>
      </c>
    </row>
    <row r="38">
      <c r="A38" t="inlineStr">
        <is>
          <t>BK10099</t>
        </is>
      </c>
      <c r="B38" s="3" t="inlineStr">
        <is>
          <t>01/21/2025</t>
        </is>
      </c>
      <c r="C38" t="inlineStr">
        <is>
          <t>Customer 112</t>
        </is>
      </c>
      <c r="D38" t="inlineStr">
        <is>
          <t>South</t>
        </is>
      </c>
      <c r="E38" t="inlineStr">
        <is>
          <t>AnalyticsAddon</t>
        </is>
      </c>
      <c r="F38" t="inlineStr">
        <is>
          <t>Services</t>
        </is>
      </c>
      <c r="G38" t="inlineStr">
        <is>
          <t>Anna Kowalski</t>
        </is>
      </c>
      <c r="H38" t="n">
        <v>44340.55</v>
      </c>
      <c r="I38" t="inlineStr">
        <is>
          <t>INR</t>
        </is>
      </c>
    </row>
    <row r="39">
      <c r="A39" t="inlineStr">
        <is>
          <t>BK10174</t>
        </is>
      </c>
      <c r="B39" s="3" t="inlineStr">
        <is>
          <t>04/16/2024</t>
        </is>
      </c>
      <c r="C39" t="inlineStr">
        <is>
          <t>Customer 006</t>
        </is>
      </c>
      <c r="D39" t="inlineStr">
        <is>
          <t>central</t>
        </is>
      </c>
      <c r="E39" t="inlineStr">
        <is>
          <t>SecuritySuite</t>
        </is>
      </c>
      <c r="F39" t="inlineStr">
        <is>
          <t>Renewal</t>
        </is>
      </c>
      <c r="G39" t="inlineStr">
        <is>
          <t>Wei Chen</t>
        </is>
      </c>
      <c r="H39" t="n">
        <v>149977.91</v>
      </c>
      <c r="I39" t="inlineStr">
        <is>
          <t>GBP</t>
        </is>
      </c>
    </row>
    <row r="40">
      <c r="A40" t="inlineStr">
        <is>
          <t>BK10155</t>
        </is>
      </c>
      <c r="B40" s="4" t="n">
        <v>45359</v>
      </c>
      <c r="C40" t="inlineStr">
        <is>
          <t>Customer 072</t>
        </is>
      </c>
      <c r="D40" t="inlineStr">
        <is>
          <t xml:space="preserve">Central </t>
        </is>
      </c>
      <c r="E40" t="inlineStr">
        <is>
          <t>DataConnect</t>
        </is>
      </c>
      <c r="F40" t="inlineStr">
        <is>
          <t>Support</t>
        </is>
      </c>
      <c r="G40" t="inlineStr">
        <is>
          <t>Wei Chen</t>
        </is>
      </c>
      <c r="H40" t="n">
        <v>47603.25</v>
      </c>
      <c r="I40" t="inlineStr">
        <is>
          <t>CAD</t>
        </is>
      </c>
    </row>
    <row r="41">
      <c r="A41" t="inlineStr">
        <is>
          <t>BK10149</t>
        </is>
      </c>
      <c r="B41" s="4" t="n">
        <v>45767</v>
      </c>
      <c r="C41" t="inlineStr">
        <is>
          <t>Customer 111</t>
        </is>
      </c>
      <c r="D41" t="inlineStr">
        <is>
          <t>south</t>
        </is>
      </c>
      <c r="E41" t="inlineStr">
        <is>
          <t>SecuritySuite</t>
        </is>
      </c>
      <c r="F41" t="inlineStr">
        <is>
          <t>Renewal</t>
        </is>
      </c>
      <c r="G41" t="inlineStr">
        <is>
          <t>Anna Kowalski</t>
        </is>
      </c>
      <c r="H41" t="n">
        <v>80838.02</v>
      </c>
      <c r="I41" t="inlineStr">
        <is>
          <t>EUR</t>
        </is>
      </c>
    </row>
    <row r="42">
      <c r="A42" t="inlineStr">
        <is>
          <t>BK10290</t>
        </is>
      </c>
      <c r="B42" s="4" t="n">
        <v>45468</v>
      </c>
      <c r="C42" t="inlineStr">
        <is>
          <t>Customer 087</t>
        </is>
      </c>
      <c r="D42" t="inlineStr">
        <is>
          <t>Central</t>
        </is>
      </c>
      <c r="E42" t="inlineStr">
        <is>
          <t>SecuritySuite</t>
        </is>
      </c>
      <c r="F42" t="inlineStr">
        <is>
          <t>New License</t>
        </is>
      </c>
      <c r="G42" t="inlineStr">
        <is>
          <t>Wei Chen</t>
        </is>
      </c>
      <c r="H42" t="n">
        <v>45227.37</v>
      </c>
      <c r="I42" t="inlineStr">
        <is>
          <t>USD</t>
        </is>
      </c>
    </row>
    <row r="43">
      <c r="A43" t="inlineStr">
        <is>
          <t>BK10092</t>
        </is>
      </c>
      <c r="B43" s="3" t="inlineStr">
        <is>
          <t>06/10/2025</t>
        </is>
      </c>
      <c r="C43" t="inlineStr">
        <is>
          <t>Customer 053</t>
        </is>
      </c>
      <c r="D43" t="inlineStr">
        <is>
          <t>East</t>
        </is>
      </c>
      <c r="E43" t="inlineStr">
        <is>
          <t>AnalyticsAddon</t>
        </is>
      </c>
      <c r="F43" t="inlineStr">
        <is>
          <t>Support</t>
        </is>
      </c>
      <c r="G43" t="inlineStr">
        <is>
          <t>Tom Becker</t>
        </is>
      </c>
      <c r="H43" t="n">
        <v>113206.2</v>
      </c>
      <c r="I43" t="inlineStr">
        <is>
          <t>EUR</t>
        </is>
      </c>
    </row>
    <row r="44">
      <c r="A44" t="inlineStr">
        <is>
          <t>BK10350</t>
        </is>
      </c>
      <c r="B44" s="3" t="inlineStr">
        <is>
          <t>02/29/2024</t>
        </is>
      </c>
      <c r="C44" t="inlineStr">
        <is>
          <t>Customer 099</t>
        </is>
      </c>
      <c r="D44" t="inlineStr">
        <is>
          <t>south</t>
        </is>
      </c>
      <c r="E44" t="inlineStr">
        <is>
          <t>AnalyticsAddon</t>
        </is>
      </c>
      <c r="F44" t="inlineStr">
        <is>
          <t>Renewal</t>
        </is>
      </c>
      <c r="G44" t="inlineStr">
        <is>
          <t>Anna Kowalski</t>
        </is>
      </c>
      <c r="H44" t="n">
        <v>20723.78</v>
      </c>
      <c r="I44" t="inlineStr">
        <is>
          <t>GBP</t>
        </is>
      </c>
    </row>
    <row r="45">
      <c r="A45" t="inlineStr">
        <is>
          <t>BK10386</t>
        </is>
      </c>
      <c r="B45" s="3" t="inlineStr">
        <is>
          <t>2024-04-02</t>
        </is>
      </c>
      <c r="C45" t="inlineStr">
        <is>
          <t>Customer 050</t>
        </is>
      </c>
      <c r="D45" t="inlineStr">
        <is>
          <t>Central</t>
        </is>
      </c>
      <c r="E45" t="inlineStr">
        <is>
          <t>AnalyticsAddon</t>
        </is>
      </c>
      <c r="F45" t="inlineStr">
        <is>
          <t>Renewal</t>
        </is>
      </c>
      <c r="G45" t="inlineStr">
        <is>
          <t>Wei Chen</t>
        </is>
      </c>
      <c r="H45" t="n">
        <v>154708.68</v>
      </c>
      <c r="I45" t="inlineStr">
        <is>
          <t>GBP</t>
        </is>
      </c>
    </row>
    <row r="46">
      <c r="A46" t="inlineStr">
        <is>
          <t>BK10180</t>
        </is>
      </c>
      <c r="B46" s="4" t="n">
        <v>45594</v>
      </c>
      <c r="C46" t="inlineStr">
        <is>
          <t>Customer 078</t>
        </is>
      </c>
      <c r="D46" t="inlineStr">
        <is>
          <t xml:space="preserve">Central </t>
        </is>
      </c>
      <c r="E46" t="inlineStr">
        <is>
          <t>DataConnect</t>
        </is>
      </c>
      <c r="F46" t="inlineStr">
        <is>
          <t>Renewal</t>
        </is>
      </c>
      <c r="G46" t="inlineStr">
        <is>
          <t>Luis Ortega</t>
        </is>
      </c>
      <c r="H46" t="n">
        <v>125088.37</v>
      </c>
      <c r="I46" t="inlineStr">
        <is>
          <t>USD</t>
        </is>
      </c>
    </row>
    <row r="47">
      <c r="A47" t="inlineStr">
        <is>
          <t>BK10379</t>
        </is>
      </c>
      <c r="B47" s="3" t="inlineStr">
        <is>
          <t>12/05/2024</t>
        </is>
      </c>
      <c r="C47" t="inlineStr">
        <is>
          <t>Customer 096</t>
        </is>
      </c>
      <c r="D47" t="inlineStr">
        <is>
          <t xml:space="preserve">west </t>
        </is>
      </c>
      <c r="E47" t="inlineStr">
        <is>
          <t>SecuritySuite</t>
        </is>
      </c>
      <c r="F47" t="inlineStr">
        <is>
          <t>Support</t>
        </is>
      </c>
      <c r="G47" t="inlineStr">
        <is>
          <t>Maria Garcia</t>
        </is>
      </c>
      <c r="H47" t="n">
        <v>6581.22</v>
      </c>
      <c r="I47" t="inlineStr">
        <is>
          <t>INR</t>
        </is>
      </c>
    </row>
    <row r="48">
      <c r="A48" t="inlineStr">
        <is>
          <t>BK10179</t>
        </is>
      </c>
      <c r="B48" s="4" t="n">
        <v>45565</v>
      </c>
      <c r="C48" t="inlineStr">
        <is>
          <t>Customer 011</t>
        </is>
      </c>
      <c r="D48" t="inlineStr">
        <is>
          <t>EAST</t>
        </is>
      </c>
      <c r="E48" t="inlineStr">
        <is>
          <t>AnalyticsAddon</t>
        </is>
      </c>
      <c r="F48" t="inlineStr">
        <is>
          <t>Support</t>
        </is>
      </c>
      <c r="G48" t="inlineStr">
        <is>
          <t>Tom Becker</t>
        </is>
      </c>
      <c r="H48" t="n">
        <v>59854.42</v>
      </c>
      <c r="I48" t="inlineStr">
        <is>
          <t>USD</t>
        </is>
      </c>
    </row>
    <row r="49">
      <c r="A49" t="inlineStr">
        <is>
          <t>BK10031</t>
        </is>
      </c>
      <c r="B49" s="3" t="inlineStr">
        <is>
          <t>2024-03-15</t>
        </is>
      </c>
      <c r="C49" t="inlineStr">
        <is>
          <t>Customer 080</t>
        </is>
      </c>
      <c r="D49" t="inlineStr">
        <is>
          <t>East</t>
        </is>
      </c>
      <c r="E49" t="inlineStr">
        <is>
          <t>CorePlatform</t>
        </is>
      </c>
      <c r="F49" t="inlineStr">
        <is>
          <t>Renewal</t>
        </is>
      </c>
      <c r="G49" t="inlineStr">
        <is>
          <t>Tom Becker</t>
        </is>
      </c>
      <c r="H49" t="n">
        <v>92541.59</v>
      </c>
      <c r="I49" t="inlineStr">
        <is>
          <t>USD</t>
        </is>
      </c>
    </row>
    <row r="50">
      <c r="A50" t="inlineStr">
        <is>
          <t>BK10008</t>
        </is>
      </c>
      <c r="B50" s="3" t="inlineStr">
        <is>
          <t>2024-08-12</t>
        </is>
      </c>
      <c r="C50" t="inlineStr">
        <is>
          <t>Customer 030</t>
        </is>
      </c>
      <c r="D50" t="inlineStr">
        <is>
          <t>Central</t>
        </is>
      </c>
      <c r="E50" t="inlineStr">
        <is>
          <t>SecuritySuite</t>
        </is>
      </c>
      <c r="F50" t="inlineStr">
        <is>
          <t>Services</t>
        </is>
      </c>
      <c r="G50" t="inlineStr">
        <is>
          <t>Wei Chen</t>
        </is>
      </c>
      <c r="H50" t="n">
        <v>50390.14</v>
      </c>
      <c r="I50" t="inlineStr">
        <is>
          <t>USD</t>
        </is>
      </c>
    </row>
    <row r="51">
      <c r="A51" t="inlineStr">
        <is>
          <t>BK10100</t>
        </is>
      </c>
      <c r="B51" s="4" t="n">
        <v>45336</v>
      </c>
      <c r="C51" t="inlineStr">
        <is>
          <t>Customer 091</t>
        </is>
      </c>
      <c r="D51" t="inlineStr">
        <is>
          <t>central</t>
        </is>
      </c>
      <c r="E51" t="inlineStr">
        <is>
          <t>DataConnect</t>
        </is>
      </c>
      <c r="F51" t="inlineStr">
        <is>
          <t>Renewal</t>
        </is>
      </c>
      <c r="G51" t="inlineStr">
        <is>
          <t>Luis Ortega</t>
        </is>
      </c>
      <c r="H51" t="n">
        <v>90673.17</v>
      </c>
      <c r="I51" t="inlineStr">
        <is>
          <t>USD</t>
        </is>
      </c>
    </row>
    <row r="52">
      <c r="A52" t="inlineStr">
        <is>
          <t>BK10321</t>
        </is>
      </c>
      <c r="B52" s="4" t="n">
        <v>45359</v>
      </c>
      <c r="C52" t="inlineStr">
        <is>
          <t>Customer 094</t>
        </is>
      </c>
      <c r="D52" t="inlineStr">
        <is>
          <t>Central</t>
        </is>
      </c>
      <c r="E52" t="inlineStr">
        <is>
          <t>CorePlatform</t>
        </is>
      </c>
      <c r="F52" t="inlineStr">
        <is>
          <t>Renewal</t>
        </is>
      </c>
      <c r="G52" t="inlineStr">
        <is>
          <t>Luis Ortega</t>
        </is>
      </c>
      <c r="H52" t="n">
        <v>18259.67</v>
      </c>
      <c r="I52" t="inlineStr">
        <is>
          <t>EUR</t>
        </is>
      </c>
    </row>
    <row r="53">
      <c r="A53" t="inlineStr">
        <is>
          <t>BK10119</t>
        </is>
      </c>
      <c r="B53" s="3" t="inlineStr">
        <is>
          <t>03/05/2025</t>
        </is>
      </c>
      <c r="C53" t="inlineStr">
        <is>
          <t>Customer 084</t>
        </is>
      </c>
      <c r="D53" t="inlineStr">
        <is>
          <t>West</t>
        </is>
      </c>
      <c r="E53" t="inlineStr">
        <is>
          <t>DataConnect</t>
        </is>
      </c>
      <c r="F53" t="inlineStr">
        <is>
          <t>Services</t>
        </is>
      </c>
      <c r="G53" t="inlineStr">
        <is>
          <t>Sara Cohen</t>
        </is>
      </c>
      <c r="H53" t="n">
        <v>169212.39</v>
      </c>
      <c r="I53" t="inlineStr">
        <is>
          <t>USD</t>
        </is>
      </c>
    </row>
    <row r="54">
      <c r="A54" t="inlineStr">
        <is>
          <t>BK10248</t>
        </is>
      </c>
      <c r="B54" s="3" t="inlineStr">
        <is>
          <t>01/16/2024</t>
        </is>
      </c>
      <c r="C54" t="inlineStr">
        <is>
          <t>Customer 095</t>
        </is>
      </c>
      <c r="D54" t="inlineStr">
        <is>
          <t>West</t>
        </is>
      </c>
      <c r="E54" t="inlineStr">
        <is>
          <t>DataConnect</t>
        </is>
      </c>
      <c r="F54" t="inlineStr">
        <is>
          <t>Renewal</t>
        </is>
      </c>
      <c r="G54" t="inlineStr">
        <is>
          <t>Maria Garcia</t>
        </is>
      </c>
      <c r="H54" t="n">
        <v>126125.85</v>
      </c>
      <c r="I54" t="inlineStr">
        <is>
          <t>GBP</t>
        </is>
      </c>
    </row>
    <row r="55">
      <c r="A55" t="inlineStr">
        <is>
          <t>BK10229</t>
        </is>
      </c>
      <c r="B55" s="4" t="n">
        <v>45674</v>
      </c>
      <c r="C55" t="inlineStr">
        <is>
          <t>Customer 097</t>
        </is>
      </c>
      <c r="D55" t="inlineStr">
        <is>
          <t>south</t>
        </is>
      </c>
      <c r="E55" t="inlineStr">
        <is>
          <t>AnalyticsAddon</t>
        </is>
      </c>
      <c r="F55" t="inlineStr">
        <is>
          <t>Renewal</t>
        </is>
      </c>
      <c r="G55" t="inlineStr">
        <is>
          <t>Anna Kowalski</t>
        </is>
      </c>
      <c r="H55" t="n">
        <v>123420.52</v>
      </c>
      <c r="I55" t="inlineStr">
        <is>
          <t>EUR</t>
        </is>
      </c>
    </row>
    <row r="56">
      <c r="A56" t="inlineStr">
        <is>
          <t>BK10049</t>
        </is>
      </c>
      <c r="B56" s="3" t="inlineStr">
        <is>
          <t>06/07/2025</t>
        </is>
      </c>
      <c r="C56" t="inlineStr">
        <is>
          <t>Customer 085</t>
        </is>
      </c>
      <c r="D56" t="inlineStr">
        <is>
          <t>South</t>
        </is>
      </c>
      <c r="E56" t="inlineStr">
        <is>
          <t>SecuritySuite</t>
        </is>
      </c>
      <c r="F56" t="inlineStr">
        <is>
          <t>Support</t>
        </is>
      </c>
      <c r="G56" t="inlineStr">
        <is>
          <t>Priya Sharma</t>
        </is>
      </c>
      <c r="H56" t="n">
        <v>19529.53</v>
      </c>
      <c r="I56" t="inlineStr">
        <is>
          <t>BRL</t>
        </is>
      </c>
    </row>
    <row r="57">
      <c r="A57" t="inlineStr">
        <is>
          <t>BK10249</t>
        </is>
      </c>
      <c r="B57" s="3" t="inlineStr">
        <is>
          <t>02/10/2025</t>
        </is>
      </c>
      <c r="C57" t="inlineStr">
        <is>
          <t>Customer 100</t>
        </is>
      </c>
      <c r="D57" t="inlineStr">
        <is>
          <t xml:space="preserve">west </t>
        </is>
      </c>
      <c r="E57" t="inlineStr">
        <is>
          <t>DataConnect</t>
        </is>
      </c>
      <c r="F57" t="inlineStr">
        <is>
          <t>Services</t>
        </is>
      </c>
      <c r="G57" t="inlineStr">
        <is>
          <t>Sara Cohen</t>
        </is>
      </c>
      <c r="H57" t="n">
        <v>97456.07000000001</v>
      </c>
      <c r="I57" t="inlineStr">
        <is>
          <t>USD</t>
        </is>
      </c>
    </row>
    <row r="58">
      <c r="A58" t="inlineStr">
        <is>
          <t>BK10150</t>
        </is>
      </c>
      <c r="B58" s="4" t="n">
        <v>45602</v>
      </c>
      <c r="C58" t="inlineStr">
        <is>
          <t>Customer 046</t>
        </is>
      </c>
      <c r="D58" t="inlineStr">
        <is>
          <t xml:space="preserve">Central </t>
        </is>
      </c>
      <c r="E58" t="inlineStr">
        <is>
          <t>CorePlatform</t>
        </is>
      </c>
      <c r="F58" t="inlineStr">
        <is>
          <t>Support</t>
        </is>
      </c>
      <c r="G58" t="inlineStr">
        <is>
          <t>Wei Chen</t>
        </is>
      </c>
      <c r="H58" t="n">
        <v>84728.42</v>
      </c>
      <c r="I58" t="inlineStr">
        <is>
          <t>USD</t>
        </is>
      </c>
    </row>
    <row r="59">
      <c r="A59" t="inlineStr">
        <is>
          <t>BK10075</t>
        </is>
      </c>
      <c r="B59" s="3" t="inlineStr">
        <is>
          <t>12/26/2024</t>
        </is>
      </c>
      <c r="C59" t="inlineStr">
        <is>
          <t>Customer 040</t>
        </is>
      </c>
      <c r="D59" t="inlineStr">
        <is>
          <t>SOUTH</t>
        </is>
      </c>
      <c r="E59" t="inlineStr">
        <is>
          <t>AnalyticsAddon</t>
        </is>
      </c>
      <c r="F59" t="inlineStr">
        <is>
          <t>New License</t>
        </is>
      </c>
      <c r="G59" t="inlineStr">
        <is>
          <t>Anna Kowalski</t>
        </is>
      </c>
      <c r="H59" t="n">
        <v>130667.33</v>
      </c>
      <c r="I59" t="inlineStr">
        <is>
          <t>USD</t>
        </is>
      </c>
    </row>
    <row r="60">
      <c r="A60" t="inlineStr">
        <is>
          <t>BK10300</t>
        </is>
      </c>
      <c r="B60" s="4" t="n">
        <v>45565</v>
      </c>
      <c r="C60" t="inlineStr">
        <is>
          <t>Customer 097</t>
        </is>
      </c>
      <c r="D60" t="inlineStr">
        <is>
          <t>EAST</t>
        </is>
      </c>
      <c r="E60" t="inlineStr">
        <is>
          <t>CorePlatform</t>
        </is>
      </c>
      <c r="F60" t="inlineStr">
        <is>
          <t>Support</t>
        </is>
      </c>
      <c r="G60" t="inlineStr">
        <is>
          <t>John Smith</t>
        </is>
      </c>
      <c r="H60" t="n">
        <v>156467.42</v>
      </c>
      <c r="I60" t="inlineStr">
        <is>
          <t>USD</t>
        </is>
      </c>
    </row>
    <row r="61">
      <c r="A61" t="inlineStr">
        <is>
          <t>BK10157</t>
        </is>
      </c>
      <c r="B61" s="4" t="n">
        <v>45693</v>
      </c>
      <c r="C61" t="inlineStr">
        <is>
          <t>Customer 040</t>
        </is>
      </c>
      <c r="D61" t="inlineStr">
        <is>
          <t>West</t>
        </is>
      </c>
      <c r="E61" t="inlineStr">
        <is>
          <t>DataConnect</t>
        </is>
      </c>
      <c r="F61" t="inlineStr">
        <is>
          <t>Support</t>
        </is>
      </c>
      <c r="G61" t="inlineStr">
        <is>
          <t>Maria Garcia</t>
        </is>
      </c>
      <c r="H61" t="n">
        <v>146933.71</v>
      </c>
      <c r="I61" t="inlineStr">
        <is>
          <t>GBP</t>
        </is>
      </c>
    </row>
    <row r="62">
      <c r="A62" t="inlineStr">
        <is>
          <t>BK10170</t>
        </is>
      </c>
      <c r="B62" s="3" t="inlineStr">
        <is>
          <t>2024-11-04</t>
        </is>
      </c>
      <c r="C62" t="inlineStr">
        <is>
          <t>Customer 031</t>
        </is>
      </c>
      <c r="D62" t="inlineStr">
        <is>
          <t>EAST</t>
        </is>
      </c>
      <c r="E62" t="inlineStr">
        <is>
          <t>DataConnect</t>
        </is>
      </c>
      <c r="F62" t="inlineStr">
        <is>
          <t>New License</t>
        </is>
      </c>
      <c r="G62" t="inlineStr">
        <is>
          <t>John Smith</t>
        </is>
      </c>
      <c r="H62" t="n">
        <v>22621.85</v>
      </c>
      <c r="I62" t="inlineStr">
        <is>
          <t>CAD</t>
        </is>
      </c>
    </row>
    <row r="63">
      <c r="A63" t="inlineStr">
        <is>
          <t>BK10111</t>
        </is>
      </c>
      <c r="B63" s="4" t="n">
        <v>45342</v>
      </c>
      <c r="C63" t="inlineStr">
        <is>
          <t>Customer 100</t>
        </is>
      </c>
      <c r="D63" t="inlineStr">
        <is>
          <t>South</t>
        </is>
      </c>
      <c r="E63" t="inlineStr">
        <is>
          <t>SecuritySuite</t>
        </is>
      </c>
      <c r="F63" t="inlineStr">
        <is>
          <t>Renewal</t>
        </is>
      </c>
      <c r="G63" t="inlineStr">
        <is>
          <t>Anna Kowalski</t>
        </is>
      </c>
      <c r="H63" t="n">
        <v>115681.36</v>
      </c>
      <c r="I63" t="inlineStr">
        <is>
          <t>GBP</t>
        </is>
      </c>
    </row>
    <row r="64">
      <c r="A64" t="inlineStr">
        <is>
          <t>BK10048</t>
        </is>
      </c>
      <c r="B64" s="3" t="inlineStr">
        <is>
          <t>2024-11-07</t>
        </is>
      </c>
      <c r="C64" t="inlineStr">
        <is>
          <t>Customer 056</t>
        </is>
      </c>
      <c r="D64" t="inlineStr">
        <is>
          <t xml:space="preserve">Central </t>
        </is>
      </c>
      <c r="E64" t="inlineStr">
        <is>
          <t>SecuritySuite</t>
        </is>
      </c>
      <c r="F64" t="inlineStr">
        <is>
          <t>Services</t>
        </is>
      </c>
      <c r="G64" t="inlineStr">
        <is>
          <t>Wei Chen</t>
        </is>
      </c>
      <c r="H64" t="n">
        <v>81196.12</v>
      </c>
      <c r="I64" t="inlineStr">
        <is>
          <t>GBP</t>
        </is>
      </c>
    </row>
    <row r="65">
      <c r="A65" t="inlineStr">
        <is>
          <t>BK10104</t>
        </is>
      </c>
      <c r="B65" s="3" t="inlineStr">
        <is>
          <t>10/21/2024</t>
        </is>
      </c>
      <c r="C65" t="inlineStr">
        <is>
          <t>Customer 056</t>
        </is>
      </c>
      <c r="D65" t="inlineStr">
        <is>
          <t>West</t>
        </is>
      </c>
      <c r="E65" t="inlineStr">
        <is>
          <t>CorePlatform</t>
        </is>
      </c>
      <c r="F65" t="inlineStr">
        <is>
          <t>Services</t>
        </is>
      </c>
      <c r="G65" t="inlineStr">
        <is>
          <t>Maria Garcia</t>
        </is>
      </c>
      <c r="H65" t="n">
        <v>32446.57</v>
      </c>
      <c r="I65" t="inlineStr">
        <is>
          <t>USD</t>
        </is>
      </c>
    </row>
    <row r="66">
      <c r="A66" t="inlineStr">
        <is>
          <t>BK10282</t>
        </is>
      </c>
      <c r="B66" s="4" t="n">
        <v>45823</v>
      </c>
      <c r="C66" t="inlineStr">
        <is>
          <t>Customer 048</t>
        </is>
      </c>
      <c r="D66" t="inlineStr">
        <is>
          <t xml:space="preserve">west </t>
        </is>
      </c>
      <c r="E66" t="inlineStr">
        <is>
          <t>DataConnect</t>
        </is>
      </c>
      <c r="F66" t="inlineStr">
        <is>
          <t>Renewal</t>
        </is>
      </c>
      <c r="G66" t="inlineStr">
        <is>
          <t>Sara Cohen</t>
        </is>
      </c>
      <c r="H66" t="n">
        <v>64059.23</v>
      </c>
      <c r="I66" t="inlineStr">
        <is>
          <t>USD</t>
        </is>
      </c>
    </row>
    <row r="67">
      <c r="A67" t="inlineStr">
        <is>
          <t>BK10223</t>
        </is>
      </c>
      <c r="B67" s="4" t="n">
        <v>45489</v>
      </c>
      <c r="C67" t="inlineStr">
        <is>
          <t>Customer 021</t>
        </is>
      </c>
      <c r="D67" t="inlineStr">
        <is>
          <t>EAST</t>
        </is>
      </c>
      <c r="E67" t="inlineStr">
        <is>
          <t>SecuritySuite</t>
        </is>
      </c>
      <c r="F67" t="inlineStr">
        <is>
          <t>Renewal</t>
        </is>
      </c>
      <c r="G67" t="inlineStr">
        <is>
          <t>Tom Becker</t>
        </is>
      </c>
      <c r="H67" t="n">
        <v>5492.9</v>
      </c>
      <c r="I67" t="inlineStr">
        <is>
          <t>USD</t>
        </is>
      </c>
    </row>
    <row r="68">
      <c r="A68" t="inlineStr">
        <is>
          <t>BK10225</t>
        </is>
      </c>
      <c r="B68" s="4" t="n">
        <v>45389</v>
      </c>
      <c r="C68" t="inlineStr">
        <is>
          <t>Customer 062</t>
        </is>
      </c>
      <c r="D68" t="inlineStr">
        <is>
          <t xml:space="preserve">west </t>
        </is>
      </c>
      <c r="E68" t="inlineStr">
        <is>
          <t>AnalyticsAddon</t>
        </is>
      </c>
      <c r="F68" t="inlineStr">
        <is>
          <t>New License</t>
        </is>
      </c>
      <c r="G68" t="inlineStr">
        <is>
          <t>Maria Garcia</t>
        </is>
      </c>
      <c r="H68" t="n">
        <v>49158.99</v>
      </c>
      <c r="I68" t="inlineStr">
        <is>
          <t>USD</t>
        </is>
      </c>
    </row>
    <row r="69">
      <c r="A69" t="inlineStr">
        <is>
          <t>BK10027</t>
        </is>
      </c>
      <c r="B69" s="4" t="n">
        <v>45354</v>
      </c>
      <c r="C69" t="inlineStr">
        <is>
          <t>Customer 007</t>
        </is>
      </c>
      <c r="D69" t="inlineStr">
        <is>
          <t xml:space="preserve">Central </t>
        </is>
      </c>
      <c r="E69" t="inlineStr">
        <is>
          <t>DataConnect</t>
        </is>
      </c>
      <c r="F69" t="inlineStr">
        <is>
          <t>Renewal</t>
        </is>
      </c>
      <c r="G69" t="inlineStr">
        <is>
          <t>Wei Chen</t>
        </is>
      </c>
      <c r="H69" t="n">
        <v>13067.69</v>
      </c>
      <c r="I69" t="inlineStr">
        <is>
          <t>EUR</t>
        </is>
      </c>
    </row>
    <row r="70">
      <c r="A70" t="inlineStr">
        <is>
          <t>BK10050</t>
        </is>
      </c>
      <c r="B70" s="4" t="n">
        <v>45532</v>
      </c>
      <c r="C70" t="inlineStr">
        <is>
          <t>Customer 104</t>
        </is>
      </c>
      <c r="D70" t="inlineStr">
        <is>
          <t>Central</t>
        </is>
      </c>
      <c r="E70" t="inlineStr">
        <is>
          <t>AnalyticsAddon</t>
        </is>
      </c>
      <c r="F70" t="inlineStr">
        <is>
          <t>New License</t>
        </is>
      </c>
      <c r="G70" t="inlineStr">
        <is>
          <t>Wei Chen</t>
        </is>
      </c>
      <c r="H70" t="n">
        <v>11179.83</v>
      </c>
      <c r="I70" t="inlineStr">
        <is>
          <t>BRL</t>
        </is>
      </c>
    </row>
    <row r="71">
      <c r="A71" t="inlineStr">
        <is>
          <t>BK10230</t>
        </is>
      </c>
      <c r="B71" s="3" t="inlineStr">
        <is>
          <t>2024-03-24</t>
        </is>
      </c>
      <c r="C71" t="inlineStr">
        <is>
          <t>Customer 010</t>
        </is>
      </c>
      <c r="D71" t="inlineStr">
        <is>
          <t>south</t>
        </is>
      </c>
      <c r="E71" t="inlineStr">
        <is>
          <t>CorePlatform</t>
        </is>
      </c>
      <c r="F71" t="inlineStr">
        <is>
          <t>New License</t>
        </is>
      </c>
      <c r="G71" t="inlineStr">
        <is>
          <t>Anna Kowalski</t>
        </is>
      </c>
      <c r="H71" t="n">
        <v>149693.01</v>
      </c>
      <c r="I71" t="inlineStr">
        <is>
          <t>CAD</t>
        </is>
      </c>
    </row>
    <row r="72">
      <c r="A72" t="inlineStr">
        <is>
          <t>BK10243</t>
        </is>
      </c>
      <c r="B72" s="4" t="n">
        <v>45799</v>
      </c>
      <c r="C72" t="inlineStr">
        <is>
          <t>Customer 083</t>
        </is>
      </c>
      <c r="D72" t="inlineStr">
        <is>
          <t>EAST</t>
        </is>
      </c>
      <c r="E72" t="inlineStr">
        <is>
          <t>SecuritySuite</t>
        </is>
      </c>
      <c r="F72" t="inlineStr">
        <is>
          <t>Services</t>
        </is>
      </c>
      <c r="G72" t="inlineStr">
        <is>
          <t>Tom Becker</t>
        </is>
      </c>
      <c r="H72" t="n">
        <v>75261.87</v>
      </c>
      <c r="I72" t="inlineStr">
        <is>
          <t>USD</t>
        </is>
      </c>
    </row>
    <row r="73">
      <c r="A73" t="inlineStr">
        <is>
          <t>BK10270</t>
        </is>
      </c>
      <c r="B73" s="4" t="n">
        <v>45397</v>
      </c>
      <c r="C73" t="inlineStr">
        <is>
          <t>Customer 046</t>
        </is>
      </c>
      <c r="D73" t="inlineStr">
        <is>
          <t>East</t>
        </is>
      </c>
      <c r="E73" t="inlineStr">
        <is>
          <t>SecuritySuite</t>
        </is>
      </c>
      <c r="F73" t="inlineStr">
        <is>
          <t>Services</t>
        </is>
      </c>
      <c r="G73" t="inlineStr">
        <is>
          <t>John Smith</t>
        </is>
      </c>
      <c r="H73" t="n">
        <v>5184.29</v>
      </c>
      <c r="I73" t="inlineStr">
        <is>
          <t>EUR</t>
        </is>
      </c>
    </row>
    <row r="74">
      <c r="A74" t="inlineStr">
        <is>
          <t>BK10032</t>
        </is>
      </c>
      <c r="B74" s="3" t="inlineStr">
        <is>
          <t>2024-12-23</t>
        </is>
      </c>
      <c r="C74" t="inlineStr">
        <is>
          <t>Customer 048</t>
        </is>
      </c>
      <c r="D74" t="inlineStr">
        <is>
          <t>east</t>
        </is>
      </c>
      <c r="E74" t="inlineStr">
        <is>
          <t>AnalyticsAddon</t>
        </is>
      </c>
      <c r="F74" t="inlineStr">
        <is>
          <t>Services</t>
        </is>
      </c>
      <c r="G74" t="inlineStr">
        <is>
          <t>John Smith</t>
        </is>
      </c>
      <c r="H74" t="n">
        <v>150572.86</v>
      </c>
      <c r="I74" t="inlineStr">
        <is>
          <t>GBP</t>
        </is>
      </c>
    </row>
    <row r="75">
      <c r="A75" t="inlineStr">
        <is>
          <t>BK10310</t>
        </is>
      </c>
      <c r="B75" s="4" t="n">
        <v>45415</v>
      </c>
      <c r="C75" t="inlineStr">
        <is>
          <t>Customer 062</t>
        </is>
      </c>
      <c r="D75" t="inlineStr">
        <is>
          <t>South</t>
        </is>
      </c>
      <c r="E75" t="inlineStr">
        <is>
          <t>AnalyticsAddon</t>
        </is>
      </c>
      <c r="F75" t="inlineStr">
        <is>
          <t>Services</t>
        </is>
      </c>
      <c r="G75" t="inlineStr">
        <is>
          <t>Priya Sharma</t>
        </is>
      </c>
      <c r="H75" t="n">
        <v>18811.6</v>
      </c>
      <c r="I75" t="inlineStr">
        <is>
          <t>INR</t>
        </is>
      </c>
    </row>
    <row r="76">
      <c r="A76" t="inlineStr">
        <is>
          <t>BK10307</t>
        </is>
      </c>
      <c r="B76" s="3" t="inlineStr">
        <is>
          <t>2024-07-26</t>
        </is>
      </c>
      <c r="C76" t="inlineStr">
        <is>
          <t>Customer 021</t>
        </is>
      </c>
      <c r="D76" t="inlineStr">
        <is>
          <t xml:space="preserve">west </t>
        </is>
      </c>
      <c r="E76" t="inlineStr">
        <is>
          <t>CorePlatform</t>
        </is>
      </c>
      <c r="F76" t="inlineStr">
        <is>
          <t>Support</t>
        </is>
      </c>
      <c r="G76" t="inlineStr">
        <is>
          <t>Sara Cohen</t>
        </is>
      </c>
      <c r="H76" t="n">
        <v>47318.9</v>
      </c>
      <c r="I76" t="inlineStr">
        <is>
          <t>USD</t>
        </is>
      </c>
    </row>
    <row r="77">
      <c r="A77" t="inlineStr">
        <is>
          <t>BK10017</t>
        </is>
      </c>
      <c r="B77" s="3" t="inlineStr">
        <is>
          <t>08/04/2024</t>
        </is>
      </c>
      <c r="C77" t="inlineStr">
        <is>
          <t>Customer 052</t>
        </is>
      </c>
      <c r="D77" t="inlineStr">
        <is>
          <t>West</t>
        </is>
      </c>
      <c r="E77" t="inlineStr">
        <is>
          <t>SecuritySuite</t>
        </is>
      </c>
      <c r="F77" t="inlineStr">
        <is>
          <t>Services</t>
        </is>
      </c>
      <c r="G77" t="inlineStr">
        <is>
          <t>Sara Cohen</t>
        </is>
      </c>
      <c r="H77" t="n">
        <v>162231.69</v>
      </c>
      <c r="I77" t="inlineStr">
        <is>
          <t>EUR</t>
        </is>
      </c>
    </row>
    <row r="78">
      <c r="A78" t="inlineStr">
        <is>
          <t>BK10182</t>
        </is>
      </c>
      <c r="B78" s="3" t="inlineStr">
        <is>
          <t>06/09/2025</t>
        </is>
      </c>
      <c r="C78" t="inlineStr">
        <is>
          <t>Customer 019</t>
        </is>
      </c>
      <c r="D78" t="inlineStr">
        <is>
          <t>West</t>
        </is>
      </c>
      <c r="E78" t="inlineStr">
        <is>
          <t>DataConnect</t>
        </is>
      </c>
      <c r="F78" t="inlineStr">
        <is>
          <t>New License</t>
        </is>
      </c>
      <c r="G78" t="inlineStr">
        <is>
          <t>Maria Garcia</t>
        </is>
      </c>
      <c r="H78" t="n">
        <v>25342.71</v>
      </c>
      <c r="I78" t="inlineStr">
        <is>
          <t>USD</t>
        </is>
      </c>
    </row>
    <row r="79">
      <c r="A79" t="inlineStr">
        <is>
          <t>BK10021</t>
        </is>
      </c>
      <c r="B79" s="3" t="inlineStr">
        <is>
          <t>07/13/2024</t>
        </is>
      </c>
      <c r="C79" t="inlineStr">
        <is>
          <t>Customer 085</t>
        </is>
      </c>
      <c r="D79" t="inlineStr">
        <is>
          <t>EAST</t>
        </is>
      </c>
      <c r="E79" t="inlineStr">
        <is>
          <t>SecuritySuite</t>
        </is>
      </c>
      <c r="F79" t="inlineStr">
        <is>
          <t>Services</t>
        </is>
      </c>
      <c r="G79" t="inlineStr">
        <is>
          <t>John Smith</t>
        </is>
      </c>
      <c r="H79" t="n">
        <v>75765.10000000001</v>
      </c>
      <c r="I79" t="inlineStr">
        <is>
          <t>CAD</t>
        </is>
      </c>
    </row>
    <row r="80">
      <c r="A80" t="inlineStr">
        <is>
          <t>BK10005</t>
        </is>
      </c>
      <c r="B80" s="3" t="inlineStr">
        <is>
          <t>2025-01-05</t>
        </is>
      </c>
      <c r="C80" t="inlineStr">
        <is>
          <t>Customer 006</t>
        </is>
      </c>
      <c r="D80" t="inlineStr">
        <is>
          <t>West</t>
        </is>
      </c>
      <c r="E80" t="inlineStr">
        <is>
          <t>AnalyticsAddon</t>
        </is>
      </c>
      <c r="F80" t="inlineStr">
        <is>
          <t>Support</t>
        </is>
      </c>
      <c r="G80" t="inlineStr">
        <is>
          <t>Maria Garcia</t>
        </is>
      </c>
      <c r="H80" t="n">
        <v>177384.21</v>
      </c>
      <c r="I80" t="inlineStr">
        <is>
          <t>CAD</t>
        </is>
      </c>
    </row>
    <row r="81">
      <c r="A81" t="inlineStr">
        <is>
          <t>BK10236</t>
        </is>
      </c>
      <c r="B81" s="4" t="n">
        <v>45678</v>
      </c>
      <c r="C81" t="inlineStr">
        <is>
          <t>Customer 088</t>
        </is>
      </c>
      <c r="D81" t="inlineStr">
        <is>
          <t>south</t>
        </is>
      </c>
      <c r="E81" t="inlineStr">
        <is>
          <t>AnalyticsAddon</t>
        </is>
      </c>
      <c r="F81" t="inlineStr">
        <is>
          <t>Support</t>
        </is>
      </c>
      <c r="G81" t="inlineStr">
        <is>
          <t>Priya Sharma</t>
        </is>
      </c>
      <c r="H81" t="n">
        <v>23998.07</v>
      </c>
      <c r="I81" t="inlineStr">
        <is>
          <t>BRL</t>
        </is>
      </c>
    </row>
    <row r="82">
      <c r="A82" t="inlineStr">
        <is>
          <t>BK10047</t>
        </is>
      </c>
      <c r="B82" s="3" t="inlineStr">
        <is>
          <t>05/10/2024</t>
        </is>
      </c>
      <c r="C82" t="inlineStr">
        <is>
          <t>Customer 086</t>
        </is>
      </c>
      <c r="D82" t="inlineStr">
        <is>
          <t xml:space="preserve">west </t>
        </is>
      </c>
      <c r="E82" t="inlineStr">
        <is>
          <t>AnalyticsAddon</t>
        </is>
      </c>
      <c r="F82" t="inlineStr">
        <is>
          <t>Support</t>
        </is>
      </c>
      <c r="G82" t="inlineStr">
        <is>
          <t>Sara Cohen</t>
        </is>
      </c>
      <c r="H82" t="n">
        <v>74875.3</v>
      </c>
      <c r="I82" t="inlineStr">
        <is>
          <t>INR</t>
        </is>
      </c>
    </row>
    <row r="83">
      <c r="A83" t="inlineStr">
        <is>
          <t>BK10288</t>
        </is>
      </c>
      <c r="B83" s="3" t="inlineStr">
        <is>
          <t>03/05/2024</t>
        </is>
      </c>
      <c r="C83" t="inlineStr">
        <is>
          <t>Customer 047</t>
        </is>
      </c>
      <c r="D83" t="inlineStr">
        <is>
          <t>east</t>
        </is>
      </c>
      <c r="E83" t="inlineStr">
        <is>
          <t>AnalyticsAddon</t>
        </is>
      </c>
      <c r="F83" t="inlineStr">
        <is>
          <t>Services</t>
        </is>
      </c>
      <c r="G83" t="inlineStr">
        <is>
          <t>John Smith</t>
        </is>
      </c>
      <c r="H83" t="n">
        <v>23170.03</v>
      </c>
      <c r="I83" t="inlineStr">
        <is>
          <t>GBP</t>
        </is>
      </c>
    </row>
    <row r="84">
      <c r="A84" t="inlineStr">
        <is>
          <t>BK10306</t>
        </is>
      </c>
      <c r="B84" s="4" t="n">
        <v>45762</v>
      </c>
      <c r="C84" t="inlineStr">
        <is>
          <t>Customer 119</t>
        </is>
      </c>
      <c r="D84" t="inlineStr">
        <is>
          <t xml:space="preserve">East </t>
        </is>
      </c>
      <c r="E84" t="inlineStr">
        <is>
          <t>DataConnect</t>
        </is>
      </c>
      <c r="F84" t="inlineStr">
        <is>
          <t>Services</t>
        </is>
      </c>
      <c r="G84" t="inlineStr">
        <is>
          <t>John Smith</t>
        </is>
      </c>
      <c r="H84" t="n">
        <v>3119.64</v>
      </c>
      <c r="I84" t="inlineStr">
        <is>
          <t>BRL</t>
        </is>
      </c>
    </row>
    <row r="85">
      <c r="A85" t="inlineStr">
        <is>
          <t>BK10037</t>
        </is>
      </c>
      <c r="B85" s="3" t="inlineStr">
        <is>
          <t>06/01/2024</t>
        </is>
      </c>
      <c r="C85" t="inlineStr">
        <is>
          <t>Customer 075</t>
        </is>
      </c>
      <c r="D85" t="inlineStr">
        <is>
          <t xml:space="preserve">East </t>
        </is>
      </c>
      <c r="E85" t="inlineStr">
        <is>
          <t>DataConnect</t>
        </is>
      </c>
      <c r="F85" t="inlineStr">
        <is>
          <t>Renewal</t>
        </is>
      </c>
      <c r="G85" t="inlineStr">
        <is>
          <t>Tom Becker</t>
        </is>
      </c>
      <c r="H85" t="n">
        <v>10403.71</v>
      </c>
      <c r="I85" t="inlineStr">
        <is>
          <t>USD</t>
        </is>
      </c>
    </row>
    <row r="86">
      <c r="A86" t="inlineStr">
        <is>
          <t>BK10234</t>
        </is>
      </c>
      <c r="B86" s="3" t="inlineStr">
        <is>
          <t>03/15/2024</t>
        </is>
      </c>
      <c r="C86" t="inlineStr">
        <is>
          <t>Customer 045</t>
        </is>
      </c>
      <c r="D86" t="inlineStr">
        <is>
          <t>East</t>
        </is>
      </c>
      <c r="E86" t="inlineStr">
        <is>
          <t>CorePlatform</t>
        </is>
      </c>
      <c r="F86" t="inlineStr">
        <is>
          <t>New License</t>
        </is>
      </c>
      <c r="G86" t="inlineStr">
        <is>
          <t>Tom Becker</t>
        </is>
      </c>
      <c r="H86" t="n">
        <v>177546.29</v>
      </c>
      <c r="I86" t="inlineStr">
        <is>
          <t>EUR</t>
        </is>
      </c>
    </row>
    <row r="87">
      <c r="A87" t="inlineStr">
        <is>
          <t>BK10275</t>
        </is>
      </c>
      <c r="B87" s="3" t="inlineStr">
        <is>
          <t>2024-05-19</t>
        </is>
      </c>
      <c r="C87" t="inlineStr">
        <is>
          <t>Customer 078</t>
        </is>
      </c>
      <c r="D87" t="inlineStr">
        <is>
          <t xml:space="preserve">Central </t>
        </is>
      </c>
      <c r="E87" t="inlineStr">
        <is>
          <t>AnalyticsAddon</t>
        </is>
      </c>
      <c r="F87" t="inlineStr">
        <is>
          <t>Services</t>
        </is>
      </c>
      <c r="G87" t="inlineStr">
        <is>
          <t>Luis Ortega</t>
        </is>
      </c>
      <c r="H87" t="n">
        <v>58610.44</v>
      </c>
      <c r="I87" t="inlineStr">
        <is>
          <t>BRL</t>
        </is>
      </c>
    </row>
    <row r="88">
      <c r="A88" t="inlineStr">
        <is>
          <t>BK10216</t>
        </is>
      </c>
      <c r="B88" s="3" t="inlineStr">
        <is>
          <t>12/20/2024</t>
        </is>
      </c>
      <c r="C88" t="inlineStr">
        <is>
          <t>Customer 096</t>
        </is>
      </c>
      <c r="D88" t="inlineStr">
        <is>
          <t>SOUTH</t>
        </is>
      </c>
      <c r="E88" t="inlineStr">
        <is>
          <t>AnalyticsAddon</t>
        </is>
      </c>
      <c r="F88" t="inlineStr">
        <is>
          <t>Renewal</t>
        </is>
      </c>
      <c r="G88" t="inlineStr">
        <is>
          <t>Anna Kowalski</t>
        </is>
      </c>
      <c r="H88" t="n">
        <v>149547.45</v>
      </c>
      <c r="I88" t="inlineStr">
        <is>
          <t>USD</t>
        </is>
      </c>
    </row>
    <row r="89">
      <c r="A89" t="inlineStr">
        <is>
          <t>BK10245</t>
        </is>
      </c>
      <c r="B89" s="3" t="inlineStr">
        <is>
          <t>02/26/2025</t>
        </is>
      </c>
      <c r="C89" t="inlineStr">
        <is>
          <t>Customer 050</t>
        </is>
      </c>
      <c r="D89" t="inlineStr">
        <is>
          <t>South</t>
        </is>
      </c>
      <c r="E89" t="inlineStr">
        <is>
          <t>SecuritySuite</t>
        </is>
      </c>
      <c r="F89" t="inlineStr">
        <is>
          <t>Renewal</t>
        </is>
      </c>
      <c r="G89" t="inlineStr">
        <is>
          <t>Priya Sharma</t>
        </is>
      </c>
      <c r="H89" t="n">
        <v>61456.55</v>
      </c>
      <c r="I89" t="inlineStr">
        <is>
          <t>USD</t>
        </is>
      </c>
    </row>
    <row r="90">
      <c r="A90" t="inlineStr">
        <is>
          <t>BK10328</t>
        </is>
      </c>
      <c r="B90" s="4" t="n">
        <v>45328</v>
      </c>
      <c r="C90" t="inlineStr">
        <is>
          <t>Customer 042</t>
        </is>
      </c>
      <c r="D90" t="inlineStr">
        <is>
          <t>South</t>
        </is>
      </c>
      <c r="E90" t="inlineStr">
        <is>
          <t>DataConnect</t>
        </is>
      </c>
      <c r="F90" t="inlineStr">
        <is>
          <t>Support</t>
        </is>
      </c>
      <c r="G90" t="inlineStr">
        <is>
          <t>Priya Sharma</t>
        </is>
      </c>
      <c r="H90" t="n">
        <v>51012.66</v>
      </c>
      <c r="I90" t="inlineStr">
        <is>
          <t>USD</t>
        </is>
      </c>
    </row>
    <row r="91">
      <c r="A91" t="inlineStr">
        <is>
          <t>BK10094</t>
        </is>
      </c>
      <c r="B91" s="3" t="inlineStr">
        <is>
          <t>01/30/2024</t>
        </is>
      </c>
      <c r="C91" t="inlineStr">
        <is>
          <t>Customer 040</t>
        </is>
      </c>
      <c r="D91" t="inlineStr">
        <is>
          <t>West</t>
        </is>
      </c>
      <c r="E91" t="inlineStr">
        <is>
          <t>CorePlatform</t>
        </is>
      </c>
      <c r="F91" t="inlineStr">
        <is>
          <t>Services</t>
        </is>
      </c>
      <c r="G91" t="inlineStr">
        <is>
          <t>Maria Garcia</t>
        </is>
      </c>
      <c r="H91" t="n">
        <v>19498.03</v>
      </c>
      <c r="I91" t="inlineStr">
        <is>
          <t>BRL</t>
        </is>
      </c>
    </row>
    <row r="92">
      <c r="A92" t="inlineStr">
        <is>
          <t>BK10146</t>
        </is>
      </c>
      <c r="B92" s="4" t="n">
        <v>45738</v>
      </c>
      <c r="C92" t="inlineStr">
        <is>
          <t>Customer 051</t>
        </is>
      </c>
      <c r="D92" t="inlineStr">
        <is>
          <t>SOUTH</t>
        </is>
      </c>
      <c r="E92" t="inlineStr">
        <is>
          <t>SecuritySuite</t>
        </is>
      </c>
      <c r="F92" t="inlineStr">
        <is>
          <t>Renewal</t>
        </is>
      </c>
      <c r="G92" t="inlineStr">
        <is>
          <t>Priya Sharma</t>
        </is>
      </c>
      <c r="H92" t="n">
        <v>61953.15</v>
      </c>
      <c r="I92" t="inlineStr">
        <is>
          <t>USD</t>
        </is>
      </c>
    </row>
    <row r="93">
      <c r="A93" t="inlineStr">
        <is>
          <t>BK10014</t>
        </is>
      </c>
      <c r="B93" s="4" t="n">
        <v>45597</v>
      </c>
      <c r="C93" t="inlineStr">
        <is>
          <t>Customer 048</t>
        </is>
      </c>
      <c r="D93" t="inlineStr">
        <is>
          <t>West</t>
        </is>
      </c>
      <c r="E93" t="inlineStr">
        <is>
          <t>CorePlatform</t>
        </is>
      </c>
      <c r="F93" t="inlineStr">
        <is>
          <t>Support</t>
        </is>
      </c>
      <c r="G93" t="inlineStr">
        <is>
          <t>Maria Garcia</t>
        </is>
      </c>
      <c r="H93" t="n">
        <v>89483.21000000001</v>
      </c>
      <c r="I93" t="inlineStr">
        <is>
          <t>USD</t>
        </is>
      </c>
    </row>
    <row r="94">
      <c r="A94" t="inlineStr">
        <is>
          <t>BK10220</t>
        </is>
      </c>
      <c r="B94" s="3" t="inlineStr">
        <is>
          <t>2024-10-19</t>
        </is>
      </c>
      <c r="C94" t="inlineStr">
        <is>
          <t>Customer 084</t>
        </is>
      </c>
      <c r="D94" t="inlineStr">
        <is>
          <t xml:space="preserve">East </t>
        </is>
      </c>
      <c r="E94" t="inlineStr">
        <is>
          <t>CorePlatform</t>
        </is>
      </c>
      <c r="F94" t="inlineStr">
        <is>
          <t>Renewal</t>
        </is>
      </c>
      <c r="G94" t="inlineStr">
        <is>
          <t>John Smith</t>
        </is>
      </c>
      <c r="H94" t="n">
        <v>76965.64</v>
      </c>
      <c r="I94" t="inlineStr">
        <is>
          <t>INR</t>
        </is>
      </c>
    </row>
    <row r="95">
      <c r="A95" t="inlineStr">
        <is>
          <t>BK10231</t>
        </is>
      </c>
      <c r="B95" s="3" t="inlineStr">
        <is>
          <t>07/26/2024</t>
        </is>
      </c>
      <c r="C95" t="inlineStr">
        <is>
          <t>Customer 042</t>
        </is>
      </c>
      <c r="D95" t="inlineStr">
        <is>
          <t>West</t>
        </is>
      </c>
      <c r="E95" t="inlineStr">
        <is>
          <t>DataConnect</t>
        </is>
      </c>
      <c r="F95" t="inlineStr">
        <is>
          <t>New License</t>
        </is>
      </c>
      <c r="G95" t="inlineStr">
        <is>
          <t>Maria Garcia</t>
        </is>
      </c>
      <c r="H95" t="n">
        <v>123412.26</v>
      </c>
      <c r="I95" t="inlineStr">
        <is>
          <t>GBP</t>
        </is>
      </c>
    </row>
    <row r="96">
      <c r="A96" t="inlineStr">
        <is>
          <t>BK10205</t>
        </is>
      </c>
      <c r="B96" s="4" t="n">
        <v>45639</v>
      </c>
      <c r="C96" t="inlineStr">
        <is>
          <t>Customer 026</t>
        </is>
      </c>
      <c r="D96" t="inlineStr">
        <is>
          <t xml:space="preserve">Central </t>
        </is>
      </c>
      <c r="E96" t="inlineStr">
        <is>
          <t>DataConnect</t>
        </is>
      </c>
      <c r="F96" t="inlineStr">
        <is>
          <t>New License</t>
        </is>
      </c>
      <c r="G96" t="inlineStr">
        <is>
          <t>Wei Chen</t>
        </is>
      </c>
      <c r="H96" t="n">
        <v>11018.69</v>
      </c>
      <c r="I96" t="inlineStr">
        <is>
          <t>USD</t>
        </is>
      </c>
    </row>
    <row r="97">
      <c r="A97" t="inlineStr">
        <is>
          <t>BK10362</t>
        </is>
      </c>
      <c r="B97" s="4" t="n">
        <v>45522</v>
      </c>
      <c r="C97" t="inlineStr">
        <is>
          <t>Customer 010</t>
        </is>
      </c>
      <c r="D97" t="inlineStr">
        <is>
          <t>West</t>
        </is>
      </c>
      <c r="E97" t="inlineStr">
        <is>
          <t>SecuritySuite</t>
        </is>
      </c>
      <c r="F97" t="inlineStr">
        <is>
          <t>New License</t>
        </is>
      </c>
      <c r="G97" t="inlineStr">
        <is>
          <t>Sara Cohen</t>
        </is>
      </c>
      <c r="H97" t="n">
        <v>59412.89</v>
      </c>
      <c r="I97" t="inlineStr">
        <is>
          <t>BRL</t>
        </is>
      </c>
    </row>
    <row r="98">
      <c r="A98" t="inlineStr">
        <is>
          <t>BK10363</t>
        </is>
      </c>
      <c r="B98" s="3" t="inlineStr">
        <is>
          <t>2024-03-16</t>
        </is>
      </c>
      <c r="C98" t="inlineStr">
        <is>
          <t>Customer 114</t>
        </is>
      </c>
      <c r="D98" t="inlineStr">
        <is>
          <t>central</t>
        </is>
      </c>
      <c r="E98" t="inlineStr">
        <is>
          <t>AnalyticsAddon</t>
        </is>
      </c>
      <c r="F98" t="inlineStr">
        <is>
          <t>New License</t>
        </is>
      </c>
      <c r="G98" t="inlineStr">
        <is>
          <t>Wei Chen</t>
        </is>
      </c>
      <c r="H98" t="n">
        <v>99827.19</v>
      </c>
      <c r="I98" t="inlineStr">
        <is>
          <t>CAD</t>
        </is>
      </c>
    </row>
    <row r="99">
      <c r="A99" t="inlineStr">
        <is>
          <t>BK10143</t>
        </is>
      </c>
      <c r="B99" s="3" t="inlineStr">
        <is>
          <t>01/24/2025</t>
        </is>
      </c>
      <c r="C99" t="inlineStr">
        <is>
          <t>Customer 010</t>
        </is>
      </c>
      <c r="D99" t="inlineStr">
        <is>
          <t xml:space="preserve">west </t>
        </is>
      </c>
      <c r="E99" t="inlineStr">
        <is>
          <t>CorePlatform</t>
        </is>
      </c>
      <c r="F99" t="inlineStr">
        <is>
          <t>Services</t>
        </is>
      </c>
      <c r="G99" t="inlineStr">
        <is>
          <t>Sara Cohen</t>
        </is>
      </c>
      <c r="H99" t="n">
        <v>6317.25</v>
      </c>
      <c r="I99" t="inlineStr">
        <is>
          <t>CAD</t>
        </is>
      </c>
    </row>
    <row r="100">
      <c r="A100" t="inlineStr">
        <is>
          <t>BK10272</t>
        </is>
      </c>
      <c r="B100" s="4" t="n">
        <v>45441</v>
      </c>
      <c r="C100" t="inlineStr">
        <is>
          <t>Customer 056</t>
        </is>
      </c>
      <c r="D100" t="inlineStr">
        <is>
          <t>east</t>
        </is>
      </c>
      <c r="E100" t="inlineStr">
        <is>
          <t>DataConnect</t>
        </is>
      </c>
      <c r="F100" t="inlineStr">
        <is>
          <t>Support</t>
        </is>
      </c>
      <c r="G100" t="inlineStr">
        <is>
          <t>John Smith</t>
        </is>
      </c>
      <c r="H100" t="n">
        <v>88708.94</v>
      </c>
      <c r="I100" t="inlineStr">
        <is>
          <t>USD</t>
        </is>
      </c>
    </row>
    <row r="101">
      <c r="A101" t="inlineStr">
        <is>
          <t>BK10303</t>
        </is>
      </c>
      <c r="B101" s="3" t="inlineStr">
        <is>
          <t>01/12/2025</t>
        </is>
      </c>
      <c r="C101" t="inlineStr">
        <is>
          <t>Customer 042</t>
        </is>
      </c>
      <c r="D101" t="inlineStr">
        <is>
          <t>south</t>
        </is>
      </c>
      <c r="E101" t="inlineStr">
        <is>
          <t>CorePlatform</t>
        </is>
      </c>
      <c r="F101" t="inlineStr">
        <is>
          <t>New License</t>
        </is>
      </c>
      <c r="G101" t="inlineStr">
        <is>
          <t>Anna Kowalski</t>
        </is>
      </c>
      <c r="H101" t="n">
        <v>132374.95</v>
      </c>
      <c r="I101" t="inlineStr">
        <is>
          <t>EUR</t>
        </is>
      </c>
    </row>
    <row r="102">
      <c r="A102" t="inlineStr">
        <is>
          <t>BK10163</t>
        </is>
      </c>
      <c r="B102" s="3" t="inlineStr">
        <is>
          <t>03/27/2025</t>
        </is>
      </c>
      <c r="C102" t="inlineStr">
        <is>
          <t>Customer 100</t>
        </is>
      </c>
      <c r="D102" t="inlineStr">
        <is>
          <t>SOUTH</t>
        </is>
      </c>
      <c r="E102" t="inlineStr">
        <is>
          <t>DataConnect</t>
        </is>
      </c>
      <c r="F102" t="inlineStr">
        <is>
          <t>Renewal</t>
        </is>
      </c>
      <c r="G102" t="inlineStr">
        <is>
          <t>Anna Kowalski</t>
        </is>
      </c>
      <c r="H102" t="n">
        <v>147589.75</v>
      </c>
      <c r="I102" t="inlineStr">
        <is>
          <t>INR</t>
        </is>
      </c>
    </row>
    <row r="103">
      <c r="A103" t="inlineStr">
        <is>
          <t>BK10329</t>
        </is>
      </c>
      <c r="B103" s="3" t="inlineStr">
        <is>
          <t>01/16/2025</t>
        </is>
      </c>
      <c r="C103" t="inlineStr">
        <is>
          <t>Customer 023</t>
        </is>
      </c>
      <c r="D103" t="inlineStr">
        <is>
          <t xml:space="preserve">East </t>
        </is>
      </c>
      <c r="E103" t="inlineStr">
        <is>
          <t>CorePlatform</t>
        </is>
      </c>
      <c r="F103" t="inlineStr">
        <is>
          <t>Services</t>
        </is>
      </c>
      <c r="G103" t="inlineStr">
        <is>
          <t>John Smith</t>
        </is>
      </c>
      <c r="H103" t="n">
        <v>15199.98</v>
      </c>
      <c r="I103" t="inlineStr">
        <is>
          <t>EUR</t>
        </is>
      </c>
    </row>
    <row r="104">
      <c r="A104" t="inlineStr">
        <is>
          <t>BK10153</t>
        </is>
      </c>
      <c r="B104" s="4" t="n">
        <v>45643</v>
      </c>
      <c r="C104" t="inlineStr">
        <is>
          <t>Customer 006</t>
        </is>
      </c>
      <c r="D104" t="inlineStr">
        <is>
          <t xml:space="preserve">East </t>
        </is>
      </c>
      <c r="E104" t="inlineStr">
        <is>
          <t>DataConnect</t>
        </is>
      </c>
      <c r="F104" t="inlineStr">
        <is>
          <t>Services</t>
        </is>
      </c>
      <c r="G104" t="inlineStr">
        <is>
          <t>John Smith</t>
        </is>
      </c>
      <c r="H104" t="n">
        <v>95760.13</v>
      </c>
      <c r="I104" t="inlineStr">
        <is>
          <t>GBP</t>
        </is>
      </c>
    </row>
    <row r="105">
      <c r="A105" t="inlineStr">
        <is>
          <t>BK10337</t>
        </is>
      </c>
      <c r="B105" s="4" t="n">
        <v>45694</v>
      </c>
      <c r="C105" t="inlineStr">
        <is>
          <t>Customer 058</t>
        </is>
      </c>
      <c r="D105" t="inlineStr">
        <is>
          <t>central</t>
        </is>
      </c>
      <c r="E105" t="inlineStr">
        <is>
          <t>AnalyticsAddon</t>
        </is>
      </c>
      <c r="F105" t="inlineStr">
        <is>
          <t>New License</t>
        </is>
      </c>
      <c r="G105" t="inlineStr">
        <is>
          <t>Luis Ortega</t>
        </is>
      </c>
      <c r="H105" t="n">
        <v>170009.18</v>
      </c>
      <c r="I105" t="inlineStr">
        <is>
          <t>USD</t>
        </is>
      </c>
    </row>
    <row r="106">
      <c r="A106" t="inlineStr">
        <is>
          <t>BK10188</t>
        </is>
      </c>
      <c r="B106" s="4" t="n">
        <v>45470</v>
      </c>
      <c r="C106" t="inlineStr">
        <is>
          <t>Customer 016</t>
        </is>
      </c>
      <c r="D106" t="inlineStr">
        <is>
          <t>Central</t>
        </is>
      </c>
      <c r="E106" t="inlineStr">
        <is>
          <t>AnalyticsAddon</t>
        </is>
      </c>
      <c r="F106" t="inlineStr">
        <is>
          <t>Renewal</t>
        </is>
      </c>
      <c r="G106" t="inlineStr">
        <is>
          <t>Wei Chen</t>
        </is>
      </c>
      <c r="H106" t="n">
        <v>142896.03</v>
      </c>
      <c r="I106" t="inlineStr">
        <is>
          <t>USD</t>
        </is>
      </c>
    </row>
    <row r="107">
      <c r="A107" t="inlineStr">
        <is>
          <t>BK10276</t>
        </is>
      </c>
      <c r="B107" s="3" t="inlineStr">
        <is>
          <t>11/22/2024</t>
        </is>
      </c>
      <c r="C107" t="inlineStr">
        <is>
          <t>Customer 074</t>
        </is>
      </c>
      <c r="D107" t="inlineStr">
        <is>
          <t>Central</t>
        </is>
      </c>
      <c r="E107" t="inlineStr">
        <is>
          <t>SecuritySuite</t>
        </is>
      </c>
      <c r="F107" t="inlineStr">
        <is>
          <t>Services</t>
        </is>
      </c>
      <c r="G107" t="inlineStr">
        <is>
          <t>Luis Ortega</t>
        </is>
      </c>
      <c r="H107" t="n">
        <v>52613.13</v>
      </c>
      <c r="I107" t="inlineStr">
        <is>
          <t>INR</t>
        </is>
      </c>
    </row>
    <row r="108">
      <c r="A108" t="inlineStr">
        <is>
          <t>BK10121</t>
        </is>
      </c>
      <c r="B108" s="3" t="inlineStr">
        <is>
          <t>2025-01-02</t>
        </is>
      </c>
      <c r="C108" t="inlineStr">
        <is>
          <t>Customer 036</t>
        </is>
      </c>
      <c r="D108" t="inlineStr">
        <is>
          <t xml:space="preserve">East </t>
        </is>
      </c>
      <c r="E108" t="inlineStr">
        <is>
          <t>CorePlatform</t>
        </is>
      </c>
      <c r="F108" t="inlineStr">
        <is>
          <t>Services</t>
        </is>
      </c>
      <c r="G108" t="inlineStr">
        <is>
          <t>Tom Becker</t>
        </is>
      </c>
      <c r="H108" t="n">
        <v>19226.2</v>
      </c>
      <c r="I108" t="inlineStr">
        <is>
          <t>USD</t>
        </is>
      </c>
    </row>
    <row r="109">
      <c r="A109" t="inlineStr">
        <is>
          <t>BK10199</t>
        </is>
      </c>
      <c r="B109" s="4" t="n">
        <v>45752</v>
      </c>
      <c r="C109" t="inlineStr">
        <is>
          <t>Customer 013</t>
        </is>
      </c>
      <c r="D109" t="inlineStr">
        <is>
          <t>West</t>
        </is>
      </c>
      <c r="E109" t="inlineStr">
        <is>
          <t>SecuritySuite</t>
        </is>
      </c>
      <c r="F109" t="inlineStr">
        <is>
          <t>Services</t>
        </is>
      </c>
      <c r="G109" t="inlineStr">
        <is>
          <t>Maria Garcia</t>
        </is>
      </c>
      <c r="H109" t="n">
        <v>155957</v>
      </c>
      <c r="I109" t="inlineStr">
        <is>
          <t>EUR</t>
        </is>
      </c>
    </row>
    <row r="110">
      <c r="A110" t="inlineStr">
        <is>
          <t>BK10241</t>
        </is>
      </c>
      <c r="B110" s="4" t="n">
        <v>45349</v>
      </c>
      <c r="C110" t="inlineStr">
        <is>
          <t>Customer 030</t>
        </is>
      </c>
      <c r="D110" t="inlineStr">
        <is>
          <t>West</t>
        </is>
      </c>
      <c r="E110" t="inlineStr">
        <is>
          <t>SecuritySuite</t>
        </is>
      </c>
      <c r="F110" t="inlineStr">
        <is>
          <t>Support</t>
        </is>
      </c>
      <c r="G110" t="inlineStr">
        <is>
          <t>Sara Cohen</t>
        </is>
      </c>
      <c r="H110" t="n">
        <v>44932.01</v>
      </c>
      <c r="I110" t="inlineStr">
        <is>
          <t>CAD</t>
        </is>
      </c>
    </row>
    <row r="111">
      <c r="A111" t="inlineStr">
        <is>
          <t>BK10296</t>
        </is>
      </c>
      <c r="B111" s="3" t="inlineStr">
        <is>
          <t>2025-01-10</t>
        </is>
      </c>
      <c r="C111" t="inlineStr">
        <is>
          <t>Customer 070</t>
        </is>
      </c>
      <c r="D111" t="inlineStr">
        <is>
          <t xml:space="preserve">East </t>
        </is>
      </c>
      <c r="E111" t="inlineStr">
        <is>
          <t>DataConnect</t>
        </is>
      </c>
      <c r="F111" t="inlineStr">
        <is>
          <t>New License</t>
        </is>
      </c>
      <c r="G111" t="inlineStr">
        <is>
          <t>Tom Becker</t>
        </is>
      </c>
      <c r="H111" t="n">
        <v>133270</v>
      </c>
      <c r="I111" t="inlineStr">
        <is>
          <t>GBP</t>
        </is>
      </c>
    </row>
    <row r="112">
      <c r="A112" t="inlineStr">
        <is>
          <t>BK10359</t>
        </is>
      </c>
      <c r="B112" s="4" t="n">
        <v>45371</v>
      </c>
      <c r="C112" t="inlineStr">
        <is>
          <t>Customer 041</t>
        </is>
      </c>
      <c r="D112" t="inlineStr">
        <is>
          <t>West</t>
        </is>
      </c>
      <c r="E112" t="inlineStr">
        <is>
          <t>CorePlatform</t>
        </is>
      </c>
      <c r="F112" t="inlineStr">
        <is>
          <t>Support</t>
        </is>
      </c>
      <c r="G112" t="inlineStr">
        <is>
          <t>Sara Cohen</t>
        </is>
      </c>
      <c r="H112" t="n">
        <v>82053.5</v>
      </c>
      <c r="I112" t="inlineStr">
        <is>
          <t>USD</t>
        </is>
      </c>
    </row>
    <row r="113">
      <c r="A113" t="inlineStr">
        <is>
          <t>BK10083</t>
        </is>
      </c>
      <c r="B113" s="3" t="inlineStr">
        <is>
          <t>06/09/2024</t>
        </is>
      </c>
      <c r="C113" t="inlineStr">
        <is>
          <t>Customer 058</t>
        </is>
      </c>
      <c r="D113" t="inlineStr">
        <is>
          <t>EAST</t>
        </is>
      </c>
      <c r="E113" t="inlineStr">
        <is>
          <t>SecuritySuite</t>
        </is>
      </c>
      <c r="F113" t="inlineStr">
        <is>
          <t>New License</t>
        </is>
      </c>
      <c r="G113" t="inlineStr">
        <is>
          <t>Tom Becker</t>
        </is>
      </c>
      <c r="H113" t="n">
        <v>43971.29</v>
      </c>
      <c r="I113" t="inlineStr">
        <is>
          <t>GBP</t>
        </is>
      </c>
    </row>
    <row r="114">
      <c r="A114" t="inlineStr">
        <is>
          <t>BK10128</t>
        </is>
      </c>
      <c r="B114" s="4" t="n">
        <v>45402</v>
      </c>
      <c r="C114" t="inlineStr">
        <is>
          <t>Customer 010</t>
        </is>
      </c>
      <c r="D114" t="inlineStr">
        <is>
          <t>South</t>
        </is>
      </c>
      <c r="E114" t="inlineStr">
        <is>
          <t>SecuritySuite</t>
        </is>
      </c>
      <c r="F114" t="inlineStr">
        <is>
          <t>Renewal</t>
        </is>
      </c>
      <c r="G114" t="inlineStr">
        <is>
          <t>Anna Kowalski</t>
        </is>
      </c>
      <c r="H114" t="n">
        <v>14625.76</v>
      </c>
      <c r="I114" t="inlineStr">
        <is>
          <t>USD</t>
        </is>
      </c>
    </row>
    <row r="115">
      <c r="A115" t="inlineStr">
        <is>
          <t>BK10253</t>
        </is>
      </c>
      <c r="B115" s="4" t="n">
        <v>45637</v>
      </c>
      <c r="C115" t="inlineStr">
        <is>
          <t>Customer 093</t>
        </is>
      </c>
      <c r="D115" t="inlineStr">
        <is>
          <t xml:space="preserve">Central </t>
        </is>
      </c>
      <c r="E115" t="inlineStr">
        <is>
          <t>DataConnect</t>
        </is>
      </c>
      <c r="F115" t="inlineStr">
        <is>
          <t>Services</t>
        </is>
      </c>
      <c r="G115" t="inlineStr">
        <is>
          <t>Luis Ortega</t>
        </is>
      </c>
      <c r="H115" t="n">
        <v>32777.36</v>
      </c>
      <c r="I115" t="inlineStr">
        <is>
          <t>INR</t>
        </is>
      </c>
    </row>
    <row r="116">
      <c r="A116" t="inlineStr">
        <is>
          <t>BK10065</t>
        </is>
      </c>
      <c r="B116" s="3" t="inlineStr">
        <is>
          <t>01/12/2025</t>
        </is>
      </c>
      <c r="C116" t="inlineStr">
        <is>
          <t>Customer 100</t>
        </is>
      </c>
      <c r="D116" t="inlineStr">
        <is>
          <t>West</t>
        </is>
      </c>
      <c r="E116" t="inlineStr">
        <is>
          <t>SecuritySuite</t>
        </is>
      </c>
      <c r="F116" t="inlineStr">
        <is>
          <t>New License</t>
        </is>
      </c>
      <c r="G116" t="inlineStr">
        <is>
          <t>Maria Garcia</t>
        </is>
      </c>
      <c r="H116" t="n">
        <v>105427.2</v>
      </c>
      <c r="I116" t="inlineStr">
        <is>
          <t>CAD</t>
        </is>
      </c>
    </row>
    <row r="117">
      <c r="A117" t="inlineStr">
        <is>
          <t>BK10137</t>
        </is>
      </c>
      <c r="B117" s="4" t="n">
        <v>45477</v>
      </c>
      <c r="C117" t="inlineStr">
        <is>
          <t>Customer 009</t>
        </is>
      </c>
      <c r="D117" t="inlineStr">
        <is>
          <t>West</t>
        </is>
      </c>
      <c r="E117" t="inlineStr">
        <is>
          <t>CorePlatform</t>
        </is>
      </c>
      <c r="F117" t="inlineStr">
        <is>
          <t>New License</t>
        </is>
      </c>
      <c r="G117" t="inlineStr">
        <is>
          <t>Sara Cohen</t>
        </is>
      </c>
      <c r="H117" t="n">
        <v>135061.78</v>
      </c>
      <c r="I117" t="inlineStr">
        <is>
          <t>USD</t>
        </is>
      </c>
    </row>
    <row r="118">
      <c r="A118" t="inlineStr">
        <is>
          <t>BK10162</t>
        </is>
      </c>
      <c r="B118" s="3" t="inlineStr">
        <is>
          <t>04/04/2025</t>
        </is>
      </c>
      <c r="C118" t="inlineStr">
        <is>
          <t>Customer 040</t>
        </is>
      </c>
      <c r="D118" t="inlineStr">
        <is>
          <t xml:space="preserve">west </t>
        </is>
      </c>
      <c r="E118" t="inlineStr">
        <is>
          <t>AnalyticsAddon</t>
        </is>
      </c>
      <c r="F118" t="inlineStr">
        <is>
          <t>Support</t>
        </is>
      </c>
      <c r="G118" t="inlineStr">
        <is>
          <t>Maria Garcia</t>
        </is>
      </c>
      <c r="H118" t="n">
        <v>123060.31</v>
      </c>
      <c r="I118" t="inlineStr">
        <is>
          <t>EUR</t>
        </is>
      </c>
    </row>
    <row r="119">
      <c r="A119" t="inlineStr">
        <is>
          <t>BK10397</t>
        </is>
      </c>
      <c r="B119" s="3" t="inlineStr">
        <is>
          <t>03/13/2024</t>
        </is>
      </c>
      <c r="C119" t="inlineStr">
        <is>
          <t>Customer 065</t>
        </is>
      </c>
      <c r="D119" t="inlineStr">
        <is>
          <t>South</t>
        </is>
      </c>
      <c r="E119" t="inlineStr">
        <is>
          <t>DataConnect</t>
        </is>
      </c>
      <c r="F119" t="inlineStr">
        <is>
          <t>Support</t>
        </is>
      </c>
      <c r="G119" t="inlineStr">
        <is>
          <t>Priya Sharma</t>
        </is>
      </c>
      <c r="H119" t="n">
        <v>76119.98</v>
      </c>
      <c r="I119" t="inlineStr">
        <is>
          <t>CAD</t>
        </is>
      </c>
    </row>
    <row r="120">
      <c r="A120" t="inlineStr">
        <is>
          <t>BK10079</t>
        </is>
      </c>
      <c r="B120" s="3" t="inlineStr">
        <is>
          <t>02/22/2024</t>
        </is>
      </c>
      <c r="C120" t="inlineStr">
        <is>
          <t>Customer 015</t>
        </is>
      </c>
      <c r="D120" t="inlineStr">
        <is>
          <t>Central</t>
        </is>
      </c>
      <c r="E120" t="inlineStr">
        <is>
          <t>DataConnect</t>
        </is>
      </c>
      <c r="F120" t="inlineStr">
        <is>
          <t>Services</t>
        </is>
      </c>
      <c r="G120" t="inlineStr">
        <is>
          <t>Luis Ortega</t>
        </is>
      </c>
      <c r="H120" t="n">
        <v>16112.54</v>
      </c>
      <c r="I120" t="inlineStr">
        <is>
          <t>GBP</t>
        </is>
      </c>
    </row>
    <row r="121">
      <c r="A121" t="inlineStr">
        <is>
          <t>BK10077</t>
        </is>
      </c>
      <c r="B121" s="3" t="inlineStr">
        <is>
          <t>10/30/2024</t>
        </is>
      </c>
      <c r="C121" t="inlineStr">
        <is>
          <t>Customer 023</t>
        </is>
      </c>
      <c r="D121" t="inlineStr">
        <is>
          <t xml:space="preserve">west </t>
        </is>
      </c>
      <c r="E121" t="inlineStr">
        <is>
          <t>CorePlatform</t>
        </is>
      </c>
      <c r="F121" t="inlineStr">
        <is>
          <t>Renewal</t>
        </is>
      </c>
      <c r="G121" t="inlineStr">
        <is>
          <t>Sara Cohen</t>
        </is>
      </c>
      <c r="H121" t="n">
        <v>51553.1</v>
      </c>
      <c r="I121" t="inlineStr">
        <is>
          <t>BRL</t>
        </is>
      </c>
    </row>
    <row r="122">
      <c r="A122" t="inlineStr">
        <is>
          <t>BK10293</t>
        </is>
      </c>
      <c r="B122" s="4" t="n">
        <v>45659</v>
      </c>
      <c r="C122" t="inlineStr">
        <is>
          <t>Customer 018</t>
        </is>
      </c>
      <c r="D122" t="inlineStr">
        <is>
          <t xml:space="preserve">East </t>
        </is>
      </c>
      <c r="E122" t="inlineStr">
        <is>
          <t>DataConnect</t>
        </is>
      </c>
      <c r="F122" t="inlineStr">
        <is>
          <t>Services</t>
        </is>
      </c>
      <c r="G122" t="inlineStr">
        <is>
          <t>Tom Becker</t>
        </is>
      </c>
      <c r="H122" t="n">
        <v>75416.78</v>
      </c>
      <c r="I122" t="inlineStr">
        <is>
          <t>EUR</t>
        </is>
      </c>
    </row>
    <row r="123">
      <c r="A123" t="inlineStr">
        <is>
          <t>BK10287</t>
        </is>
      </c>
      <c r="B123" s="4" t="n">
        <v>45321</v>
      </c>
      <c r="C123" t="inlineStr">
        <is>
          <t>Customer 076</t>
        </is>
      </c>
      <c r="D123" t="inlineStr">
        <is>
          <t xml:space="preserve">west </t>
        </is>
      </c>
      <c r="E123" t="inlineStr">
        <is>
          <t>DataConnect</t>
        </is>
      </c>
      <c r="F123" t="inlineStr">
        <is>
          <t>New License</t>
        </is>
      </c>
      <c r="G123" t="inlineStr">
        <is>
          <t>Sara Cohen</t>
        </is>
      </c>
      <c r="H123" t="n">
        <v>127738.2</v>
      </c>
      <c r="I123" t="inlineStr">
        <is>
          <t>USD</t>
        </is>
      </c>
    </row>
    <row r="124">
      <c r="A124" t="inlineStr">
        <is>
          <t>BK10265</t>
        </is>
      </c>
      <c r="B124" s="3" t="inlineStr">
        <is>
          <t>02/24/2024</t>
        </is>
      </c>
      <c r="C124" t="inlineStr">
        <is>
          <t>Customer 030</t>
        </is>
      </c>
      <c r="D124" t="inlineStr">
        <is>
          <t>East</t>
        </is>
      </c>
      <c r="E124" t="inlineStr">
        <is>
          <t>SecuritySuite</t>
        </is>
      </c>
      <c r="F124" t="inlineStr">
        <is>
          <t>Services</t>
        </is>
      </c>
      <c r="G124" t="inlineStr">
        <is>
          <t>Tom Becker</t>
        </is>
      </c>
      <c r="H124" t="n">
        <v>174498.93</v>
      </c>
      <c r="I124" t="inlineStr">
        <is>
          <t>USD</t>
        </is>
      </c>
    </row>
    <row r="125">
      <c r="A125" t="inlineStr">
        <is>
          <t>BK10000</t>
        </is>
      </c>
      <c r="B125" s="4" t="n">
        <v>45406</v>
      </c>
      <c r="C125" t="inlineStr">
        <is>
          <t>Customer 032</t>
        </is>
      </c>
      <c r="D125" t="inlineStr">
        <is>
          <t xml:space="preserve">East </t>
        </is>
      </c>
      <c r="E125" t="inlineStr">
        <is>
          <t>AnalyticsAddon</t>
        </is>
      </c>
      <c r="F125" t="inlineStr">
        <is>
          <t>New License</t>
        </is>
      </c>
      <c r="G125" t="inlineStr">
        <is>
          <t>Tom Becker</t>
        </is>
      </c>
      <c r="H125" t="n">
        <v>122775.81</v>
      </c>
      <c r="I125" t="inlineStr">
        <is>
          <t>CAD</t>
        </is>
      </c>
    </row>
    <row r="126">
      <c r="A126" t="inlineStr">
        <is>
          <t>BK10302</t>
        </is>
      </c>
      <c r="B126" s="4" t="n">
        <v>45567</v>
      </c>
      <c r="C126" t="inlineStr">
        <is>
          <t>Customer 058</t>
        </is>
      </c>
      <c r="D126" t="inlineStr">
        <is>
          <t>South</t>
        </is>
      </c>
      <c r="E126" t="inlineStr">
        <is>
          <t>CorePlatform</t>
        </is>
      </c>
      <c r="F126" t="inlineStr">
        <is>
          <t>Services</t>
        </is>
      </c>
      <c r="G126" t="inlineStr">
        <is>
          <t>Anna Kowalski</t>
        </is>
      </c>
      <c r="H126" t="n">
        <v>94263.58</v>
      </c>
      <c r="I126" t="inlineStr">
        <is>
          <t>USD</t>
        </is>
      </c>
    </row>
    <row r="127">
      <c r="A127" t="inlineStr">
        <is>
          <t>BK10177</t>
        </is>
      </c>
      <c r="B127" s="4" t="n">
        <v>45487</v>
      </c>
      <c r="C127" t="inlineStr">
        <is>
          <t>Customer 111</t>
        </is>
      </c>
      <c r="D127" t="inlineStr">
        <is>
          <t>Central</t>
        </is>
      </c>
      <c r="E127" t="inlineStr">
        <is>
          <t>SecuritySuite</t>
        </is>
      </c>
      <c r="F127" t="inlineStr">
        <is>
          <t>Support</t>
        </is>
      </c>
      <c r="G127" t="inlineStr">
        <is>
          <t>Luis Ortega</t>
        </is>
      </c>
      <c r="H127" t="n">
        <v>25032.08</v>
      </c>
      <c r="I127" t="inlineStr">
        <is>
          <t>USD</t>
        </is>
      </c>
    </row>
    <row r="128">
      <c r="A128" t="inlineStr">
        <is>
          <t>BK10202</t>
        </is>
      </c>
      <c r="B128" s="3" t="inlineStr">
        <is>
          <t>2024-10-15</t>
        </is>
      </c>
      <c r="C128" t="inlineStr">
        <is>
          <t>Customer 037</t>
        </is>
      </c>
      <c r="D128" t="inlineStr">
        <is>
          <t>south</t>
        </is>
      </c>
      <c r="E128" t="inlineStr">
        <is>
          <t>CorePlatform</t>
        </is>
      </c>
      <c r="F128" t="inlineStr">
        <is>
          <t>New License</t>
        </is>
      </c>
      <c r="G128" t="inlineStr">
        <is>
          <t>Anna Kowalski</t>
        </is>
      </c>
      <c r="H128" t="n">
        <v>79274.22</v>
      </c>
      <c r="I128" t="inlineStr">
        <is>
          <t>CAD</t>
        </is>
      </c>
    </row>
    <row r="129">
      <c r="A129" t="inlineStr">
        <is>
          <t>BK10364</t>
        </is>
      </c>
      <c r="B129" s="3" t="inlineStr">
        <is>
          <t>04/05/2024</t>
        </is>
      </c>
      <c r="C129" t="inlineStr">
        <is>
          <t>Customer 091</t>
        </is>
      </c>
      <c r="D129" t="inlineStr">
        <is>
          <t>Central</t>
        </is>
      </c>
      <c r="E129" t="inlineStr">
        <is>
          <t>DataConnect</t>
        </is>
      </c>
      <c r="F129" t="inlineStr">
        <is>
          <t>Renewal</t>
        </is>
      </c>
      <c r="G129" t="inlineStr">
        <is>
          <t>Luis Ortega</t>
        </is>
      </c>
      <c r="H129" t="n">
        <v>110495.22</v>
      </c>
      <c r="I129" t="inlineStr">
        <is>
          <t>EUR</t>
        </is>
      </c>
    </row>
    <row r="130">
      <c r="A130" t="inlineStr">
        <is>
          <t>BK10141</t>
        </is>
      </c>
      <c r="B130" s="3" t="inlineStr">
        <is>
          <t>05/13/2025</t>
        </is>
      </c>
      <c r="C130" t="inlineStr">
        <is>
          <t>Customer 029</t>
        </is>
      </c>
      <c r="D130" t="inlineStr">
        <is>
          <t>central</t>
        </is>
      </c>
      <c r="E130" t="inlineStr">
        <is>
          <t>CorePlatform</t>
        </is>
      </c>
      <c r="F130" t="inlineStr">
        <is>
          <t>New License</t>
        </is>
      </c>
      <c r="G130" t="inlineStr">
        <is>
          <t>Wei Chen</t>
        </is>
      </c>
      <c r="H130" t="n">
        <v>39182.89</v>
      </c>
      <c r="I130" t="inlineStr">
        <is>
          <t>BRL</t>
        </is>
      </c>
    </row>
    <row r="131">
      <c r="A131" t="inlineStr">
        <is>
          <t>BK10342</t>
        </is>
      </c>
      <c r="B131" s="3" t="inlineStr">
        <is>
          <t>05/23/2024</t>
        </is>
      </c>
      <c r="C131" t="inlineStr">
        <is>
          <t>Customer 008</t>
        </is>
      </c>
      <c r="D131" t="inlineStr">
        <is>
          <t xml:space="preserve">East </t>
        </is>
      </c>
      <c r="E131" t="inlineStr">
        <is>
          <t>AnalyticsAddon</t>
        </is>
      </c>
      <c r="F131" t="inlineStr">
        <is>
          <t>Renewal</t>
        </is>
      </c>
      <c r="G131" t="inlineStr">
        <is>
          <t>John Smith</t>
        </is>
      </c>
      <c r="H131" t="n">
        <v>148790.19</v>
      </c>
      <c r="I131" t="inlineStr">
        <is>
          <t>USD</t>
        </is>
      </c>
    </row>
    <row r="132">
      <c r="A132" t="inlineStr">
        <is>
          <t>BK10308</t>
        </is>
      </c>
      <c r="B132" s="4" t="n">
        <v>45461</v>
      </c>
      <c r="C132" t="inlineStr">
        <is>
          <t>Customer 081</t>
        </is>
      </c>
      <c r="D132" t="inlineStr">
        <is>
          <t>east</t>
        </is>
      </c>
      <c r="E132" t="inlineStr">
        <is>
          <t>AnalyticsAddon</t>
        </is>
      </c>
      <c r="F132" t="inlineStr">
        <is>
          <t>Services</t>
        </is>
      </c>
      <c r="G132" t="inlineStr">
        <is>
          <t>Tom Becker</t>
        </is>
      </c>
      <c r="H132" t="n">
        <v>119020.89</v>
      </c>
      <c r="I132" t="inlineStr">
        <is>
          <t>GBP</t>
        </is>
      </c>
    </row>
    <row r="133">
      <c r="A133" t="inlineStr">
        <is>
          <t>BK10210</t>
        </is>
      </c>
      <c r="B133" s="3" t="inlineStr">
        <is>
          <t>04/22/2024</t>
        </is>
      </c>
      <c r="C133" t="inlineStr">
        <is>
          <t>Customer 057</t>
        </is>
      </c>
      <c r="D133" t="inlineStr">
        <is>
          <t xml:space="preserve">west </t>
        </is>
      </c>
      <c r="E133" t="inlineStr">
        <is>
          <t>DataConnect</t>
        </is>
      </c>
      <c r="F133" t="inlineStr">
        <is>
          <t>Renewal</t>
        </is>
      </c>
      <c r="G133" t="inlineStr">
        <is>
          <t>Maria Garcia</t>
        </is>
      </c>
      <c r="H133" t="n">
        <v>76093.94</v>
      </c>
      <c r="I133" t="inlineStr">
        <is>
          <t>USD</t>
        </is>
      </c>
    </row>
    <row r="134">
      <c r="A134" t="inlineStr">
        <is>
          <t>BK10030</t>
        </is>
      </c>
      <c r="B134" s="4" t="n">
        <v>45563</v>
      </c>
      <c r="C134" t="inlineStr">
        <is>
          <t>Customer 086</t>
        </is>
      </c>
      <c r="D134" t="inlineStr">
        <is>
          <t>south</t>
        </is>
      </c>
      <c r="E134" t="inlineStr">
        <is>
          <t>SecuritySuite</t>
        </is>
      </c>
      <c r="F134" t="inlineStr">
        <is>
          <t>Services</t>
        </is>
      </c>
      <c r="G134" t="inlineStr">
        <is>
          <t>Priya Sharma</t>
        </is>
      </c>
      <c r="H134" t="n">
        <v>58963.36</v>
      </c>
      <c r="I134" t="inlineStr">
        <is>
          <t>INR</t>
        </is>
      </c>
    </row>
    <row r="135">
      <c r="A135" t="inlineStr">
        <is>
          <t>BK10181</t>
        </is>
      </c>
      <c r="B135" s="3" t="inlineStr">
        <is>
          <t>02/13/2024</t>
        </is>
      </c>
      <c r="C135" t="inlineStr">
        <is>
          <t>Customer 036</t>
        </is>
      </c>
      <c r="D135" t="inlineStr">
        <is>
          <t xml:space="preserve">Central </t>
        </is>
      </c>
      <c r="E135" t="inlineStr">
        <is>
          <t>CorePlatform</t>
        </is>
      </c>
      <c r="F135" t="inlineStr">
        <is>
          <t>New License</t>
        </is>
      </c>
      <c r="G135" t="inlineStr">
        <is>
          <t>Luis Ortega</t>
        </is>
      </c>
      <c r="H135" t="n">
        <v>121799.55</v>
      </c>
      <c r="I135" t="inlineStr">
        <is>
          <t>EUR</t>
        </is>
      </c>
    </row>
    <row r="136">
      <c r="A136" t="inlineStr">
        <is>
          <t>BK10136</t>
        </is>
      </c>
      <c r="B136" s="3" t="inlineStr">
        <is>
          <t>2025-03-15</t>
        </is>
      </c>
      <c r="C136" t="inlineStr">
        <is>
          <t>Customer 004</t>
        </is>
      </c>
      <c r="D136" t="inlineStr">
        <is>
          <t xml:space="preserve">East </t>
        </is>
      </c>
      <c r="E136" t="inlineStr">
        <is>
          <t>SecuritySuite</t>
        </is>
      </c>
      <c r="F136" t="inlineStr">
        <is>
          <t>Support</t>
        </is>
      </c>
      <c r="G136" t="inlineStr">
        <is>
          <t>Tom Becker</t>
        </is>
      </c>
      <c r="H136" t="n">
        <v>166112.14</v>
      </c>
      <c r="I136" t="inlineStr">
        <is>
          <t>USD</t>
        </is>
      </c>
    </row>
    <row r="137">
      <c r="A137" t="inlineStr">
        <is>
          <t>BK10370</t>
        </is>
      </c>
      <c r="B137" s="4" t="n">
        <v>45768</v>
      </c>
      <c r="C137" t="inlineStr">
        <is>
          <t>Customer 108</t>
        </is>
      </c>
      <c r="D137" t="inlineStr">
        <is>
          <t>central</t>
        </is>
      </c>
      <c r="E137" t="inlineStr">
        <is>
          <t>CorePlatform</t>
        </is>
      </c>
      <c r="F137" t="inlineStr">
        <is>
          <t>Renewal</t>
        </is>
      </c>
      <c r="G137" t="inlineStr">
        <is>
          <t>Wei Chen</t>
        </is>
      </c>
      <c r="H137" t="n">
        <v>136145.62</v>
      </c>
      <c r="I137" t="inlineStr">
        <is>
          <t>GBP</t>
        </is>
      </c>
    </row>
    <row r="138">
      <c r="A138" t="inlineStr">
        <is>
          <t>BK10022</t>
        </is>
      </c>
      <c r="B138" s="3" t="inlineStr">
        <is>
          <t>2024-02-25</t>
        </is>
      </c>
      <c r="C138" t="inlineStr">
        <is>
          <t>Customer 052</t>
        </is>
      </c>
      <c r="D138" t="inlineStr">
        <is>
          <t>east</t>
        </is>
      </c>
      <c r="E138" t="inlineStr">
        <is>
          <t>CorePlatform</t>
        </is>
      </c>
      <c r="F138" t="inlineStr">
        <is>
          <t>Renewal</t>
        </is>
      </c>
      <c r="G138" t="inlineStr">
        <is>
          <t>John Smith</t>
        </is>
      </c>
      <c r="H138" t="n">
        <v>36911.44</v>
      </c>
      <c r="I138" t="inlineStr">
        <is>
          <t>EUR</t>
        </is>
      </c>
    </row>
    <row r="139">
      <c r="A139" t="inlineStr">
        <is>
          <t>BK10339</t>
        </is>
      </c>
      <c r="B139" s="3" t="inlineStr">
        <is>
          <t>2024-07-31</t>
        </is>
      </c>
      <c r="C139" t="inlineStr">
        <is>
          <t>Customer 060</t>
        </is>
      </c>
      <c r="D139" t="inlineStr">
        <is>
          <t>SOUTH</t>
        </is>
      </c>
      <c r="E139" t="inlineStr">
        <is>
          <t>CorePlatform</t>
        </is>
      </c>
      <c r="F139" t="inlineStr">
        <is>
          <t>New License</t>
        </is>
      </c>
      <c r="G139" t="inlineStr">
        <is>
          <t>Anna Kowalski</t>
        </is>
      </c>
      <c r="H139" t="n">
        <v>30897.92</v>
      </c>
      <c r="I139" t="inlineStr">
        <is>
          <t>GBP</t>
        </is>
      </c>
    </row>
    <row r="140">
      <c r="A140" t="inlineStr">
        <is>
          <t>BK10113</t>
        </is>
      </c>
      <c r="B140" s="3" t="inlineStr">
        <is>
          <t>10/29/2024</t>
        </is>
      </c>
      <c r="C140" t="inlineStr">
        <is>
          <t>Customer 023</t>
        </is>
      </c>
      <c r="D140" t="inlineStr">
        <is>
          <t>Central</t>
        </is>
      </c>
      <c r="E140" t="inlineStr">
        <is>
          <t>AnalyticsAddon</t>
        </is>
      </c>
      <c r="F140" t="inlineStr">
        <is>
          <t>Support</t>
        </is>
      </c>
      <c r="G140" t="inlineStr">
        <is>
          <t>Luis Ortega</t>
        </is>
      </c>
      <c r="H140" t="n">
        <v>96960.87</v>
      </c>
      <c r="I140" t="inlineStr">
        <is>
          <t>CAD</t>
        </is>
      </c>
    </row>
    <row r="141">
      <c r="A141" t="inlineStr">
        <is>
          <t>BK10117</t>
        </is>
      </c>
      <c r="B141" s="4" t="n">
        <v>45627</v>
      </c>
      <c r="C141" t="inlineStr">
        <is>
          <t>Customer 082</t>
        </is>
      </c>
      <c r="D141" t="inlineStr">
        <is>
          <t xml:space="preserve">west </t>
        </is>
      </c>
      <c r="E141" t="inlineStr">
        <is>
          <t>SecuritySuite</t>
        </is>
      </c>
      <c r="F141" t="inlineStr">
        <is>
          <t>Services</t>
        </is>
      </c>
      <c r="G141" t="inlineStr">
        <is>
          <t>Maria Garcia</t>
        </is>
      </c>
      <c r="H141" t="n">
        <v>23651.64</v>
      </c>
      <c r="I141" t="inlineStr">
        <is>
          <t>USD</t>
        </is>
      </c>
    </row>
    <row r="142">
      <c r="A142" t="inlineStr">
        <is>
          <t>BK10334</t>
        </is>
      </c>
      <c r="B142" s="3" t="inlineStr">
        <is>
          <t>2024-08-31</t>
        </is>
      </c>
      <c r="C142" t="inlineStr">
        <is>
          <t>Customer 008</t>
        </is>
      </c>
      <c r="D142" t="inlineStr">
        <is>
          <t>South</t>
        </is>
      </c>
      <c r="E142" t="inlineStr">
        <is>
          <t>SecuritySuite</t>
        </is>
      </c>
      <c r="F142" t="inlineStr">
        <is>
          <t>New License</t>
        </is>
      </c>
      <c r="G142" t="inlineStr">
        <is>
          <t>Anna Kowalski</t>
        </is>
      </c>
      <c r="H142" t="n">
        <v>10770.35</v>
      </c>
      <c r="I142" t="inlineStr">
        <is>
          <t>USD</t>
        </is>
      </c>
    </row>
    <row r="143">
      <c r="A143" t="inlineStr">
        <is>
          <t>BK10298</t>
        </is>
      </c>
      <c r="B143" s="4" t="n">
        <v>45534</v>
      </c>
      <c r="C143" t="inlineStr">
        <is>
          <t>Customer 111</t>
        </is>
      </c>
      <c r="D143" t="inlineStr">
        <is>
          <t>West</t>
        </is>
      </c>
      <c r="E143" t="inlineStr">
        <is>
          <t>DataConnect</t>
        </is>
      </c>
      <c r="F143" t="inlineStr">
        <is>
          <t>Renewal</t>
        </is>
      </c>
      <c r="G143" t="inlineStr">
        <is>
          <t>Sara Cohen</t>
        </is>
      </c>
      <c r="H143" t="n">
        <v>112058.76</v>
      </c>
      <c r="I143" t="inlineStr">
        <is>
          <t>INR</t>
        </is>
      </c>
    </row>
    <row r="144">
      <c r="A144" t="inlineStr">
        <is>
          <t>BK10289</t>
        </is>
      </c>
      <c r="B144" s="3" t="inlineStr">
        <is>
          <t>05/16/2025</t>
        </is>
      </c>
      <c r="C144" t="inlineStr">
        <is>
          <t>Customer 079</t>
        </is>
      </c>
      <c r="D144" t="inlineStr">
        <is>
          <t>central</t>
        </is>
      </c>
      <c r="E144" t="inlineStr">
        <is>
          <t>CorePlatform</t>
        </is>
      </c>
      <c r="F144" t="inlineStr">
        <is>
          <t>Support</t>
        </is>
      </c>
      <c r="G144" t="inlineStr">
        <is>
          <t>Luis Ortega</t>
        </is>
      </c>
      <c r="H144" t="n">
        <v>65301.33</v>
      </c>
      <c r="I144" t="inlineStr">
        <is>
          <t>EUR</t>
        </is>
      </c>
    </row>
    <row r="145">
      <c r="A145" t="inlineStr">
        <is>
          <t>BK10344</t>
        </is>
      </c>
      <c r="B145" s="4" t="n">
        <v>45631</v>
      </c>
      <c r="C145" t="inlineStr">
        <is>
          <t>Customer 060</t>
        </is>
      </c>
      <c r="D145" t="inlineStr">
        <is>
          <t>East</t>
        </is>
      </c>
      <c r="E145" t="inlineStr">
        <is>
          <t>AnalyticsAddon</t>
        </is>
      </c>
      <c r="F145" t="inlineStr">
        <is>
          <t>Services</t>
        </is>
      </c>
      <c r="G145" t="inlineStr">
        <is>
          <t>John Smith</t>
        </is>
      </c>
      <c r="H145" t="n">
        <v>148438.32</v>
      </c>
      <c r="I145" t="inlineStr">
        <is>
          <t>USD</t>
        </is>
      </c>
    </row>
    <row r="146">
      <c r="A146" t="inlineStr">
        <is>
          <t>BK10140</t>
        </is>
      </c>
      <c r="B146" s="3" t="inlineStr">
        <is>
          <t>03/28/2025</t>
        </is>
      </c>
      <c r="C146" t="inlineStr">
        <is>
          <t>Customer 028</t>
        </is>
      </c>
      <c r="D146" t="inlineStr">
        <is>
          <t>south</t>
        </is>
      </c>
      <c r="E146" t="inlineStr">
        <is>
          <t>CorePlatform</t>
        </is>
      </c>
      <c r="F146" t="inlineStr">
        <is>
          <t>Support</t>
        </is>
      </c>
      <c r="G146" t="inlineStr">
        <is>
          <t>Anna Kowalski</t>
        </is>
      </c>
      <c r="H146" t="n">
        <v>79094.71000000001</v>
      </c>
      <c r="I146" t="inlineStr">
        <is>
          <t>USD</t>
        </is>
      </c>
    </row>
    <row r="147">
      <c r="A147" t="inlineStr">
        <is>
          <t>BK10193</t>
        </is>
      </c>
      <c r="B147" s="4" t="n">
        <v>45823</v>
      </c>
      <c r="C147" t="inlineStr">
        <is>
          <t>Customer 033</t>
        </is>
      </c>
      <c r="D147" t="inlineStr">
        <is>
          <t>Central</t>
        </is>
      </c>
      <c r="E147" t="inlineStr">
        <is>
          <t>SecuritySuite</t>
        </is>
      </c>
      <c r="F147" t="inlineStr">
        <is>
          <t>Renewal</t>
        </is>
      </c>
      <c r="G147" t="inlineStr">
        <is>
          <t>Wei Chen</t>
        </is>
      </c>
      <c r="H147" t="n">
        <v>113628.96</v>
      </c>
      <c r="I147" t="inlineStr">
        <is>
          <t>GBP</t>
        </is>
      </c>
    </row>
    <row r="148">
      <c r="A148" t="inlineStr">
        <is>
          <t>BK10255</t>
        </is>
      </c>
      <c r="B148" s="4" t="n">
        <v>45341</v>
      </c>
      <c r="C148" t="inlineStr">
        <is>
          <t>Customer 018</t>
        </is>
      </c>
      <c r="D148" t="inlineStr">
        <is>
          <t xml:space="preserve">East </t>
        </is>
      </c>
      <c r="E148" t="inlineStr">
        <is>
          <t>CorePlatform</t>
        </is>
      </c>
      <c r="F148" t="inlineStr">
        <is>
          <t>Renewal</t>
        </is>
      </c>
      <c r="G148" t="inlineStr">
        <is>
          <t>Tom Becker</t>
        </is>
      </c>
      <c r="H148" t="n">
        <v>4618.04</v>
      </c>
      <c r="I148" t="inlineStr">
        <is>
          <t>EUR</t>
        </is>
      </c>
    </row>
    <row r="149">
      <c r="A149" t="inlineStr">
        <is>
          <t>BK10012</t>
        </is>
      </c>
      <c r="B149" s="4" t="n">
        <v>45771</v>
      </c>
      <c r="C149" t="inlineStr">
        <is>
          <t>Customer 088</t>
        </is>
      </c>
      <c r="D149" t="inlineStr">
        <is>
          <t xml:space="preserve">Central </t>
        </is>
      </c>
      <c r="E149" t="inlineStr">
        <is>
          <t>CorePlatform</t>
        </is>
      </c>
      <c r="F149" t="inlineStr">
        <is>
          <t>Support</t>
        </is>
      </c>
      <c r="G149" t="inlineStr">
        <is>
          <t>Wei Chen</t>
        </is>
      </c>
      <c r="H149" t="n">
        <v>139041.98</v>
      </c>
      <c r="I149" t="inlineStr">
        <is>
          <t>USD</t>
        </is>
      </c>
    </row>
    <row r="150">
      <c r="A150" t="inlineStr">
        <is>
          <t>BK10071</t>
        </is>
      </c>
      <c r="B150" s="4" t="n">
        <v>45478</v>
      </c>
      <c r="C150" t="inlineStr">
        <is>
          <t>Customer 046</t>
        </is>
      </c>
      <c r="D150" t="inlineStr">
        <is>
          <t>SOUTH</t>
        </is>
      </c>
      <c r="E150" t="inlineStr">
        <is>
          <t>SecuritySuite</t>
        </is>
      </c>
      <c r="F150" t="inlineStr">
        <is>
          <t>Support</t>
        </is>
      </c>
      <c r="G150" t="inlineStr">
        <is>
          <t>Priya Sharma</t>
        </is>
      </c>
      <c r="H150" t="n">
        <v>158816.64</v>
      </c>
      <c r="I150" t="inlineStr">
        <is>
          <t>GBP</t>
        </is>
      </c>
    </row>
    <row r="151">
      <c r="A151" t="inlineStr">
        <is>
          <t>BK10240</t>
        </is>
      </c>
      <c r="B151" s="4" t="n">
        <v>45749</v>
      </c>
      <c r="C151" t="inlineStr">
        <is>
          <t>Customer 095</t>
        </is>
      </c>
      <c r="D151" t="inlineStr">
        <is>
          <t>East</t>
        </is>
      </c>
      <c r="E151" t="inlineStr">
        <is>
          <t>DataConnect</t>
        </is>
      </c>
      <c r="F151" t="inlineStr">
        <is>
          <t>Services</t>
        </is>
      </c>
      <c r="G151" t="inlineStr">
        <is>
          <t>John Smith</t>
        </is>
      </c>
      <c r="H151" t="n">
        <v>44478.05</v>
      </c>
      <c r="I151" t="inlineStr">
        <is>
          <t>USD</t>
        </is>
      </c>
    </row>
    <row r="152">
      <c r="A152" t="inlineStr">
        <is>
          <t>BK10061</t>
        </is>
      </c>
      <c r="B152" s="3" t="inlineStr">
        <is>
          <t>2024-03-26</t>
        </is>
      </c>
      <c r="C152" t="inlineStr">
        <is>
          <t>Customer 111</t>
        </is>
      </c>
      <c r="D152" t="inlineStr">
        <is>
          <t>SOUTH</t>
        </is>
      </c>
      <c r="E152" t="inlineStr">
        <is>
          <t>AnalyticsAddon</t>
        </is>
      </c>
      <c r="F152" t="inlineStr">
        <is>
          <t>New License</t>
        </is>
      </c>
      <c r="G152" t="inlineStr">
        <is>
          <t>Priya Sharma</t>
        </is>
      </c>
      <c r="H152" t="n">
        <v>49047.67</v>
      </c>
      <c r="I152" t="inlineStr">
        <is>
          <t>USD</t>
        </is>
      </c>
    </row>
    <row r="153">
      <c r="A153" t="inlineStr">
        <is>
          <t>BK10285</t>
        </is>
      </c>
      <c r="B153" s="3" t="inlineStr">
        <is>
          <t>2024-04-27</t>
        </is>
      </c>
      <c r="C153" t="inlineStr">
        <is>
          <t>Customer 083</t>
        </is>
      </c>
      <c r="D153" t="inlineStr">
        <is>
          <t>East</t>
        </is>
      </c>
      <c r="E153" t="inlineStr">
        <is>
          <t>AnalyticsAddon</t>
        </is>
      </c>
      <c r="F153" t="inlineStr">
        <is>
          <t>Renewal</t>
        </is>
      </c>
      <c r="G153" t="inlineStr">
        <is>
          <t>Tom Becker</t>
        </is>
      </c>
      <c r="H153" t="n">
        <v>94330.92</v>
      </c>
      <c r="I153" t="inlineStr">
        <is>
          <t>EUR</t>
        </is>
      </c>
    </row>
    <row r="154">
      <c r="A154" t="inlineStr">
        <is>
          <t>BK10125</t>
        </is>
      </c>
      <c r="B154" s="4" t="n">
        <v>45535</v>
      </c>
      <c r="C154" t="inlineStr">
        <is>
          <t>Customer 023</t>
        </is>
      </c>
      <c r="D154" t="inlineStr">
        <is>
          <t>central</t>
        </is>
      </c>
      <c r="E154" t="inlineStr">
        <is>
          <t>CorePlatform</t>
        </is>
      </c>
      <c r="F154" t="inlineStr">
        <is>
          <t>Renewal</t>
        </is>
      </c>
      <c r="G154" t="inlineStr">
        <is>
          <t>Wei Chen</t>
        </is>
      </c>
      <c r="H154" t="n">
        <v>134284.1</v>
      </c>
      <c r="I154" t="inlineStr">
        <is>
          <t>EUR</t>
        </is>
      </c>
    </row>
    <row r="155">
      <c r="A155" t="inlineStr">
        <is>
          <t>BK10330</t>
        </is>
      </c>
      <c r="B155" s="4" t="n">
        <v>45581</v>
      </c>
      <c r="C155" t="inlineStr">
        <is>
          <t>Customer 012</t>
        </is>
      </c>
      <c r="D155" t="inlineStr">
        <is>
          <t xml:space="preserve">Central </t>
        </is>
      </c>
      <c r="E155" t="inlineStr">
        <is>
          <t>DataConnect</t>
        </is>
      </c>
      <c r="F155" t="inlineStr">
        <is>
          <t>New License</t>
        </is>
      </c>
      <c r="G155" t="inlineStr">
        <is>
          <t>Luis Ortega</t>
        </is>
      </c>
      <c r="H155" t="n">
        <v>68298.73</v>
      </c>
      <c r="I155" t="inlineStr">
        <is>
          <t>USD</t>
        </is>
      </c>
    </row>
    <row r="156">
      <c r="A156" t="inlineStr">
        <is>
          <t>BK10349</t>
        </is>
      </c>
      <c r="B156" s="4" t="n">
        <v>45689</v>
      </c>
      <c r="C156" t="inlineStr">
        <is>
          <t>Customer 004</t>
        </is>
      </c>
      <c r="D156" t="inlineStr">
        <is>
          <t>central</t>
        </is>
      </c>
      <c r="E156" t="inlineStr">
        <is>
          <t>AnalyticsAddon</t>
        </is>
      </c>
      <c r="F156" t="inlineStr">
        <is>
          <t>New License</t>
        </is>
      </c>
      <c r="G156" t="inlineStr">
        <is>
          <t>Wei Chen</t>
        </is>
      </c>
      <c r="H156" t="n">
        <v>161550.37</v>
      </c>
      <c r="I156" t="inlineStr">
        <is>
          <t>INR</t>
        </is>
      </c>
    </row>
    <row r="157">
      <c r="A157" t="inlineStr">
        <is>
          <t>BK10126</t>
        </is>
      </c>
      <c r="B157" s="4" t="n">
        <v>45357</v>
      </c>
      <c r="C157" t="inlineStr">
        <is>
          <t>Customer 100</t>
        </is>
      </c>
      <c r="D157" t="inlineStr">
        <is>
          <t>SOUTH</t>
        </is>
      </c>
      <c r="E157" t="inlineStr">
        <is>
          <t>CorePlatform</t>
        </is>
      </c>
      <c r="F157" t="inlineStr">
        <is>
          <t>Services</t>
        </is>
      </c>
      <c r="G157" t="inlineStr">
        <is>
          <t>Anna Kowalski</t>
        </is>
      </c>
      <c r="H157" t="n">
        <v>92179.45</v>
      </c>
      <c r="I157" t="inlineStr">
        <is>
          <t>BRL</t>
        </is>
      </c>
    </row>
    <row r="158">
      <c r="A158" t="inlineStr">
        <is>
          <t>BK10278</t>
        </is>
      </c>
      <c r="B158" s="4" t="n">
        <v>45590</v>
      </c>
      <c r="C158" t="inlineStr">
        <is>
          <t>Customer 087</t>
        </is>
      </c>
      <c r="D158" t="inlineStr">
        <is>
          <t>EAST</t>
        </is>
      </c>
      <c r="E158" t="inlineStr">
        <is>
          <t>AnalyticsAddon</t>
        </is>
      </c>
      <c r="F158" t="inlineStr">
        <is>
          <t>Support</t>
        </is>
      </c>
      <c r="G158" t="inlineStr">
        <is>
          <t>Tom Becker</t>
        </is>
      </c>
      <c r="H158" t="n">
        <v>45837.75</v>
      </c>
      <c r="I158" t="inlineStr">
        <is>
          <t>GBP</t>
        </is>
      </c>
    </row>
    <row r="159">
      <c r="A159" t="inlineStr">
        <is>
          <t>BK10312</t>
        </is>
      </c>
      <c r="B159" s="4" t="n">
        <v>45428</v>
      </c>
      <c r="C159" t="inlineStr">
        <is>
          <t>Customer 068</t>
        </is>
      </c>
      <c r="D159" t="inlineStr">
        <is>
          <t>West</t>
        </is>
      </c>
      <c r="E159" t="inlineStr">
        <is>
          <t>CorePlatform</t>
        </is>
      </c>
      <c r="F159" t="inlineStr">
        <is>
          <t>Renewal</t>
        </is>
      </c>
      <c r="G159" t="inlineStr">
        <is>
          <t>Maria Garcia</t>
        </is>
      </c>
      <c r="H159" t="n">
        <v>80897.60000000001</v>
      </c>
      <c r="I159" t="inlineStr">
        <is>
          <t>INR</t>
        </is>
      </c>
    </row>
    <row r="160">
      <c r="A160" t="inlineStr">
        <is>
          <t>BK10207</t>
        </is>
      </c>
      <c r="B160" s="4" t="n">
        <v>45694</v>
      </c>
      <c r="C160" t="inlineStr">
        <is>
          <t>Customer 065</t>
        </is>
      </c>
      <c r="D160" t="inlineStr">
        <is>
          <t xml:space="preserve">Central </t>
        </is>
      </c>
      <c r="E160" t="inlineStr">
        <is>
          <t>DataConnect</t>
        </is>
      </c>
      <c r="F160" t="inlineStr">
        <is>
          <t>Support</t>
        </is>
      </c>
      <c r="G160" t="inlineStr">
        <is>
          <t>Luis Ortega</t>
        </is>
      </c>
      <c r="H160" t="n">
        <v>87055.99000000001</v>
      </c>
      <c r="I160" t="inlineStr">
        <is>
          <t>USD</t>
        </is>
      </c>
    </row>
    <row r="161">
      <c r="A161" t="inlineStr">
        <is>
          <t>BK10283</t>
        </is>
      </c>
      <c r="B161" s="3" t="inlineStr">
        <is>
          <t>04/17/2024</t>
        </is>
      </c>
      <c r="C161" t="inlineStr">
        <is>
          <t>Customer 118</t>
        </is>
      </c>
      <c r="D161" t="inlineStr">
        <is>
          <t>Central</t>
        </is>
      </c>
      <c r="E161" t="inlineStr">
        <is>
          <t>CorePlatform</t>
        </is>
      </c>
      <c r="F161" t="inlineStr">
        <is>
          <t>Renewal</t>
        </is>
      </c>
      <c r="G161" t="inlineStr">
        <is>
          <t>Luis Ortega</t>
        </is>
      </c>
      <c r="H161" t="n">
        <v>64654.17</v>
      </c>
      <c r="I161" t="inlineStr">
        <is>
          <t>USD</t>
        </is>
      </c>
    </row>
    <row r="162">
      <c r="A162" t="inlineStr">
        <is>
          <t>BK10013</t>
        </is>
      </c>
      <c r="B162" s="4" t="n">
        <v>45592</v>
      </c>
      <c r="C162" t="inlineStr">
        <is>
          <t>Customer 059</t>
        </is>
      </c>
      <c r="D162" t="inlineStr">
        <is>
          <t>South</t>
        </is>
      </c>
      <c r="E162" t="inlineStr">
        <is>
          <t>SecuritySuite</t>
        </is>
      </c>
      <c r="F162" t="inlineStr">
        <is>
          <t>Renewal</t>
        </is>
      </c>
      <c r="G162" t="inlineStr">
        <is>
          <t>Priya Sharma</t>
        </is>
      </c>
      <c r="H162" t="n">
        <v>92859.66</v>
      </c>
      <c r="I162" t="inlineStr">
        <is>
          <t>USD</t>
        </is>
      </c>
    </row>
    <row r="163">
      <c r="A163" t="inlineStr">
        <is>
          <t>BK10195</t>
        </is>
      </c>
      <c r="B163" s="3" t="inlineStr">
        <is>
          <t>02/16/2024</t>
        </is>
      </c>
      <c r="C163" t="inlineStr">
        <is>
          <t>Customer 099</t>
        </is>
      </c>
      <c r="D163" t="inlineStr">
        <is>
          <t xml:space="preserve">Central </t>
        </is>
      </c>
      <c r="E163" t="inlineStr">
        <is>
          <t>DataConnect</t>
        </is>
      </c>
      <c r="F163" t="inlineStr">
        <is>
          <t>New License</t>
        </is>
      </c>
      <c r="G163" t="inlineStr">
        <is>
          <t>Wei Chen</t>
        </is>
      </c>
      <c r="H163" t="n">
        <v>91152.74000000001</v>
      </c>
      <c r="I163" t="inlineStr">
        <is>
          <t>GBP</t>
        </is>
      </c>
    </row>
    <row r="164">
      <c r="A164" t="inlineStr">
        <is>
          <t>BK10142</t>
        </is>
      </c>
      <c r="B164" s="4" t="n">
        <v>45432</v>
      </c>
      <c r="C164" t="inlineStr">
        <is>
          <t>Customer 042</t>
        </is>
      </c>
      <c r="D164" t="inlineStr">
        <is>
          <t>Central</t>
        </is>
      </c>
      <c r="E164" t="inlineStr">
        <is>
          <t>CorePlatform</t>
        </is>
      </c>
      <c r="F164" t="inlineStr">
        <is>
          <t>Services</t>
        </is>
      </c>
      <c r="G164" t="inlineStr">
        <is>
          <t>Luis Ortega</t>
        </is>
      </c>
      <c r="H164" t="n">
        <v>135221.5</v>
      </c>
      <c r="I164" t="inlineStr">
        <is>
          <t>USD</t>
        </is>
      </c>
    </row>
    <row r="165">
      <c r="A165" t="inlineStr">
        <is>
          <t>BK10269</t>
        </is>
      </c>
      <c r="B165" s="3" t="inlineStr">
        <is>
          <t>2024-10-03</t>
        </is>
      </c>
      <c r="C165" t="inlineStr">
        <is>
          <t>Customer 012</t>
        </is>
      </c>
      <c r="D165" t="inlineStr">
        <is>
          <t xml:space="preserve">East </t>
        </is>
      </c>
      <c r="E165" t="inlineStr">
        <is>
          <t>DataConnect</t>
        </is>
      </c>
      <c r="F165" t="inlineStr">
        <is>
          <t>Services</t>
        </is>
      </c>
      <c r="G165" t="inlineStr">
        <is>
          <t>John Smith</t>
        </is>
      </c>
      <c r="H165" t="n">
        <v>101586.35</v>
      </c>
      <c r="I165" t="inlineStr">
        <is>
          <t>EUR</t>
        </is>
      </c>
    </row>
    <row r="166">
      <c r="A166" t="inlineStr">
        <is>
          <t>BK10221</t>
        </is>
      </c>
      <c r="B166" s="4" t="n">
        <v>45329</v>
      </c>
      <c r="C166" t="inlineStr">
        <is>
          <t>Customer 024</t>
        </is>
      </c>
      <c r="D166" t="inlineStr">
        <is>
          <t>south</t>
        </is>
      </c>
      <c r="E166" t="inlineStr">
        <is>
          <t>SecuritySuite</t>
        </is>
      </c>
      <c r="F166" t="inlineStr">
        <is>
          <t>New License</t>
        </is>
      </c>
      <c r="G166" t="inlineStr">
        <is>
          <t>Anna Kowalski</t>
        </is>
      </c>
      <c r="H166" t="n">
        <v>4640.29</v>
      </c>
      <c r="I166" t="inlineStr">
        <is>
          <t>EUR</t>
        </is>
      </c>
    </row>
    <row r="167">
      <c r="A167" t="inlineStr">
        <is>
          <t>BK10377</t>
        </is>
      </c>
      <c r="B167" s="3" t="inlineStr">
        <is>
          <t>04/13/2024</t>
        </is>
      </c>
      <c r="C167" t="inlineStr">
        <is>
          <t>Customer 113</t>
        </is>
      </c>
      <c r="D167" t="inlineStr">
        <is>
          <t>central</t>
        </is>
      </c>
      <c r="E167" t="inlineStr">
        <is>
          <t>SecuritySuite</t>
        </is>
      </c>
      <c r="F167" t="inlineStr">
        <is>
          <t>Services</t>
        </is>
      </c>
      <c r="G167" t="inlineStr">
        <is>
          <t>Luis Ortega</t>
        </is>
      </c>
      <c r="H167" t="n">
        <v>118897.42</v>
      </c>
      <c r="I167" t="inlineStr">
        <is>
          <t>EUR</t>
        </is>
      </c>
    </row>
    <row r="168">
      <c r="A168" t="inlineStr">
        <is>
          <t>BK10088</t>
        </is>
      </c>
      <c r="B168" s="4" t="n">
        <v>45526</v>
      </c>
      <c r="C168" t="inlineStr">
        <is>
          <t>Customer 074</t>
        </is>
      </c>
      <c r="D168" t="inlineStr">
        <is>
          <t>East</t>
        </is>
      </c>
      <c r="E168" t="inlineStr">
        <is>
          <t>AnalyticsAddon</t>
        </is>
      </c>
      <c r="F168" t="inlineStr">
        <is>
          <t>Services</t>
        </is>
      </c>
      <c r="G168" t="inlineStr">
        <is>
          <t>Tom Becker</t>
        </is>
      </c>
      <c r="H168" t="n">
        <v>94856.60000000001</v>
      </c>
      <c r="I168" t="inlineStr">
        <is>
          <t>EUR</t>
        </is>
      </c>
    </row>
    <row r="169">
      <c r="A169" t="inlineStr">
        <is>
          <t>BK10190</t>
        </is>
      </c>
      <c r="B169" s="3" t="inlineStr">
        <is>
          <t>05/05/2025</t>
        </is>
      </c>
      <c r="C169" t="inlineStr">
        <is>
          <t>Customer 106</t>
        </is>
      </c>
      <c r="D169" t="inlineStr">
        <is>
          <t>south</t>
        </is>
      </c>
      <c r="E169" t="inlineStr">
        <is>
          <t>CorePlatform</t>
        </is>
      </c>
      <c r="F169" t="inlineStr">
        <is>
          <t>Renewal</t>
        </is>
      </c>
      <c r="G169" t="inlineStr">
        <is>
          <t>Anna Kowalski</t>
        </is>
      </c>
      <c r="H169" t="n">
        <v>175111.21</v>
      </c>
      <c r="I169" t="inlineStr">
        <is>
          <t>GBP</t>
        </is>
      </c>
    </row>
    <row r="170">
      <c r="A170" t="inlineStr">
        <is>
          <t>BK10392</t>
        </is>
      </c>
      <c r="B170" s="3" t="inlineStr">
        <is>
          <t>02/28/2024</t>
        </is>
      </c>
      <c r="C170" t="inlineStr">
        <is>
          <t>Customer 088</t>
        </is>
      </c>
      <c r="D170" t="inlineStr">
        <is>
          <t>South</t>
        </is>
      </c>
      <c r="E170" t="inlineStr">
        <is>
          <t>CorePlatform</t>
        </is>
      </c>
      <c r="F170" t="inlineStr">
        <is>
          <t>Services</t>
        </is>
      </c>
      <c r="G170" t="inlineStr">
        <is>
          <t>Anna Kowalski</t>
        </is>
      </c>
      <c r="H170" t="n">
        <v>179552.03</v>
      </c>
      <c r="I170" t="inlineStr">
        <is>
          <t>USD</t>
        </is>
      </c>
    </row>
    <row r="171">
      <c r="A171" t="inlineStr">
        <is>
          <t>BK10110</t>
        </is>
      </c>
      <c r="B171" s="4" t="n">
        <v>45594</v>
      </c>
      <c r="C171" t="inlineStr">
        <is>
          <t>Customer 107</t>
        </is>
      </c>
      <c r="D171" t="inlineStr">
        <is>
          <t xml:space="preserve">Central </t>
        </is>
      </c>
      <c r="E171" t="inlineStr">
        <is>
          <t>DataConnect</t>
        </is>
      </c>
      <c r="F171" t="inlineStr">
        <is>
          <t>Support</t>
        </is>
      </c>
      <c r="G171" t="inlineStr">
        <is>
          <t>Wei Chen</t>
        </is>
      </c>
      <c r="H171" t="n">
        <v>4433.34</v>
      </c>
      <c r="I171" t="inlineStr">
        <is>
          <t>CAD</t>
        </is>
      </c>
    </row>
    <row r="172">
      <c r="A172" t="inlineStr">
        <is>
          <t>BK10251</t>
        </is>
      </c>
      <c r="B172" s="3" t="inlineStr">
        <is>
          <t>2025-02-27</t>
        </is>
      </c>
      <c r="C172" t="inlineStr">
        <is>
          <t>Customer 095</t>
        </is>
      </c>
      <c r="D172" t="inlineStr">
        <is>
          <t xml:space="preserve">East </t>
        </is>
      </c>
      <c r="E172" t="inlineStr">
        <is>
          <t>CorePlatform</t>
        </is>
      </c>
      <c r="F172" t="inlineStr">
        <is>
          <t>Support</t>
        </is>
      </c>
      <c r="G172" t="inlineStr">
        <is>
          <t>John Smith</t>
        </is>
      </c>
      <c r="H172" t="n">
        <v>100936.15</v>
      </c>
      <c r="I172" t="inlineStr">
        <is>
          <t>EUR</t>
        </is>
      </c>
    </row>
    <row r="173">
      <c r="A173" t="inlineStr">
        <is>
          <t>BK10158</t>
        </is>
      </c>
      <c r="B173" s="4" t="n">
        <v>45831</v>
      </c>
      <c r="C173" t="inlineStr">
        <is>
          <t>Customer 066</t>
        </is>
      </c>
      <c r="D173" t="inlineStr">
        <is>
          <t>east</t>
        </is>
      </c>
      <c r="E173" t="inlineStr">
        <is>
          <t>CorePlatform</t>
        </is>
      </c>
      <c r="F173" t="inlineStr">
        <is>
          <t>Support</t>
        </is>
      </c>
      <c r="G173" t="inlineStr">
        <is>
          <t>Tom Becker</t>
        </is>
      </c>
      <c r="H173" t="n">
        <v>57669.29</v>
      </c>
      <c r="I173" t="inlineStr">
        <is>
          <t>BRL</t>
        </is>
      </c>
    </row>
    <row r="174">
      <c r="A174" t="inlineStr">
        <is>
          <t>BK10133</t>
        </is>
      </c>
      <c r="B174" s="3" t="inlineStr">
        <is>
          <t>2024-05-13</t>
        </is>
      </c>
      <c r="C174" t="inlineStr">
        <is>
          <t>Customer 086</t>
        </is>
      </c>
      <c r="D174" t="inlineStr">
        <is>
          <t>East</t>
        </is>
      </c>
      <c r="E174" t="inlineStr">
        <is>
          <t>DataConnect</t>
        </is>
      </c>
      <c r="F174" t="inlineStr">
        <is>
          <t>Support</t>
        </is>
      </c>
      <c r="G174" t="inlineStr">
        <is>
          <t>Tom Becker</t>
        </is>
      </c>
      <c r="H174" t="n">
        <v>157628.5</v>
      </c>
      <c r="I174" t="inlineStr">
        <is>
          <t>BRL</t>
        </is>
      </c>
    </row>
    <row r="175">
      <c r="A175" t="inlineStr">
        <is>
          <t>BK10132</t>
        </is>
      </c>
      <c r="B175" s="4" t="n">
        <v>45777</v>
      </c>
      <c r="C175" t="inlineStr">
        <is>
          <t>Customer 107</t>
        </is>
      </c>
      <c r="D175" t="inlineStr">
        <is>
          <t>East</t>
        </is>
      </c>
      <c r="E175" t="inlineStr">
        <is>
          <t>CorePlatform</t>
        </is>
      </c>
      <c r="F175" t="inlineStr">
        <is>
          <t>Services</t>
        </is>
      </c>
      <c r="G175" t="inlineStr">
        <is>
          <t>John Smith</t>
        </is>
      </c>
      <c r="H175" t="n">
        <v>20091.9</v>
      </c>
      <c r="I175" t="inlineStr">
        <is>
          <t>INR</t>
        </is>
      </c>
    </row>
    <row r="176">
      <c r="A176" t="inlineStr">
        <is>
          <t>BK10333</t>
        </is>
      </c>
      <c r="B176" s="4" t="n">
        <v>45301</v>
      </c>
      <c r="C176" t="inlineStr">
        <is>
          <t>Customer 098</t>
        </is>
      </c>
      <c r="D176" t="inlineStr">
        <is>
          <t xml:space="preserve">Central </t>
        </is>
      </c>
      <c r="E176" t="inlineStr">
        <is>
          <t>DataConnect</t>
        </is>
      </c>
      <c r="F176" t="inlineStr">
        <is>
          <t>Support</t>
        </is>
      </c>
      <c r="G176" t="inlineStr">
        <is>
          <t>Wei Chen</t>
        </is>
      </c>
      <c r="H176" t="n">
        <v>21398.98</v>
      </c>
      <c r="I176" t="inlineStr">
        <is>
          <t>EUR</t>
        </is>
      </c>
    </row>
    <row r="177">
      <c r="A177" t="inlineStr">
        <is>
          <t>BK10171</t>
        </is>
      </c>
      <c r="B177" s="4" t="n">
        <v>45308</v>
      </c>
      <c r="C177" t="inlineStr">
        <is>
          <t>Customer 038</t>
        </is>
      </c>
      <c r="D177" t="inlineStr">
        <is>
          <t xml:space="preserve">west </t>
        </is>
      </c>
      <c r="E177" t="inlineStr">
        <is>
          <t>CorePlatform</t>
        </is>
      </c>
      <c r="F177" t="inlineStr">
        <is>
          <t>Support</t>
        </is>
      </c>
      <c r="G177" t="inlineStr">
        <is>
          <t>Maria Garcia</t>
        </is>
      </c>
      <c r="H177" t="n">
        <v>45579.87</v>
      </c>
      <c r="I177" t="inlineStr">
        <is>
          <t>EUR</t>
        </is>
      </c>
    </row>
    <row r="178">
      <c r="A178" t="inlineStr">
        <is>
          <t>BK10057</t>
        </is>
      </c>
      <c r="B178" s="3" t="inlineStr">
        <is>
          <t>04/22/2025</t>
        </is>
      </c>
      <c r="C178" t="inlineStr">
        <is>
          <t>Customer 027</t>
        </is>
      </c>
      <c r="D178" t="inlineStr">
        <is>
          <t>SOUTH</t>
        </is>
      </c>
      <c r="E178" t="inlineStr">
        <is>
          <t>DataConnect</t>
        </is>
      </c>
      <c r="F178" t="inlineStr">
        <is>
          <t>New License</t>
        </is>
      </c>
      <c r="G178" t="inlineStr">
        <is>
          <t>Priya Sharma</t>
        </is>
      </c>
      <c r="H178" t="n">
        <v>154641.57</v>
      </c>
      <c r="I178" t="inlineStr">
        <is>
          <t>INR</t>
        </is>
      </c>
    </row>
    <row r="179">
      <c r="A179" t="inlineStr">
        <is>
          <t>BK10297</t>
        </is>
      </c>
      <c r="B179" s="3" t="inlineStr">
        <is>
          <t>09/10/2024</t>
        </is>
      </c>
      <c r="C179" t="inlineStr">
        <is>
          <t>Customer 058</t>
        </is>
      </c>
      <c r="D179" t="inlineStr">
        <is>
          <t>central</t>
        </is>
      </c>
      <c r="E179" t="inlineStr">
        <is>
          <t>SecuritySuite</t>
        </is>
      </c>
      <c r="F179" t="inlineStr">
        <is>
          <t>New License</t>
        </is>
      </c>
      <c r="G179" t="inlineStr">
        <is>
          <t>Wei Chen</t>
        </is>
      </c>
      <c r="H179" t="n">
        <v>80715.37</v>
      </c>
      <c r="I179" t="inlineStr">
        <is>
          <t>BRL</t>
        </is>
      </c>
    </row>
    <row r="180">
      <c r="A180" t="inlineStr">
        <is>
          <t>BK10147</t>
        </is>
      </c>
      <c r="B180" s="3" t="inlineStr">
        <is>
          <t>2025-06-06</t>
        </is>
      </c>
      <c r="C180" t="inlineStr">
        <is>
          <t>Customer 116</t>
        </is>
      </c>
      <c r="D180" t="inlineStr">
        <is>
          <t>east</t>
        </is>
      </c>
      <c r="E180" t="inlineStr">
        <is>
          <t>SecuritySuite</t>
        </is>
      </c>
      <c r="F180" t="inlineStr">
        <is>
          <t>Renewal</t>
        </is>
      </c>
      <c r="G180" t="inlineStr">
        <is>
          <t>John Smith</t>
        </is>
      </c>
      <c r="H180" t="n">
        <v>44819.59</v>
      </c>
      <c r="I180" t="inlineStr">
        <is>
          <t>USD</t>
        </is>
      </c>
    </row>
    <row r="181">
      <c r="A181" t="inlineStr">
        <is>
          <t>BK10291</t>
        </is>
      </c>
      <c r="B181" s="4" t="n">
        <v>45674</v>
      </c>
      <c r="C181" t="inlineStr">
        <is>
          <t>Customer 054</t>
        </is>
      </c>
      <c r="D181" t="inlineStr">
        <is>
          <t>West</t>
        </is>
      </c>
      <c r="E181" t="inlineStr">
        <is>
          <t>AnalyticsAddon</t>
        </is>
      </c>
      <c r="F181" t="inlineStr">
        <is>
          <t>Services</t>
        </is>
      </c>
      <c r="G181" t="inlineStr">
        <is>
          <t>Sara Cohen</t>
        </is>
      </c>
      <c r="H181" t="n">
        <v>77877.86</v>
      </c>
      <c r="I181" t="inlineStr">
        <is>
          <t>EUR</t>
        </is>
      </c>
    </row>
    <row r="182">
      <c r="A182" t="inlineStr">
        <is>
          <t>BK10201</t>
        </is>
      </c>
      <c r="B182" s="3" t="inlineStr">
        <is>
          <t>01/24/2024</t>
        </is>
      </c>
      <c r="C182" t="inlineStr">
        <is>
          <t>Customer 065</t>
        </is>
      </c>
      <c r="D182" t="inlineStr">
        <is>
          <t>EAST</t>
        </is>
      </c>
      <c r="E182" t="inlineStr">
        <is>
          <t>AnalyticsAddon</t>
        </is>
      </c>
      <c r="F182" t="inlineStr">
        <is>
          <t>Renewal</t>
        </is>
      </c>
      <c r="G182" t="inlineStr">
        <is>
          <t>Tom Becker</t>
        </is>
      </c>
      <c r="H182" t="n">
        <v>106251.91</v>
      </c>
      <c r="I182" t="inlineStr">
        <is>
          <t>USD</t>
        </is>
      </c>
    </row>
    <row r="183">
      <c r="A183" t="inlineStr">
        <is>
          <t>BK10003</t>
        </is>
      </c>
      <c r="B183" s="4" t="n">
        <v>45724</v>
      </c>
      <c r="C183" t="inlineStr">
        <is>
          <t>Customer 020</t>
        </is>
      </c>
      <c r="D183" t="inlineStr">
        <is>
          <t>Central</t>
        </is>
      </c>
      <c r="E183" t="inlineStr">
        <is>
          <t>SecuritySuite</t>
        </is>
      </c>
      <c r="F183" t="inlineStr">
        <is>
          <t>New License</t>
        </is>
      </c>
      <c r="G183" t="inlineStr">
        <is>
          <t>Luis Ortega</t>
        </is>
      </c>
      <c r="H183" t="n">
        <v>19416.01</v>
      </c>
      <c r="I183" t="inlineStr">
        <is>
          <t>USD</t>
        </is>
      </c>
    </row>
    <row r="184">
      <c r="A184" t="inlineStr">
        <is>
          <t>BK10080</t>
        </is>
      </c>
      <c r="B184" s="3" t="inlineStr">
        <is>
          <t>2024-02-24</t>
        </is>
      </c>
      <c r="C184" t="inlineStr">
        <is>
          <t>Customer 104</t>
        </is>
      </c>
      <c r="D184" t="inlineStr">
        <is>
          <t>West</t>
        </is>
      </c>
      <c r="E184" t="inlineStr">
        <is>
          <t>SecuritySuite</t>
        </is>
      </c>
      <c r="F184" t="inlineStr">
        <is>
          <t>New License</t>
        </is>
      </c>
      <c r="G184" t="inlineStr">
        <is>
          <t>Maria Garcia</t>
        </is>
      </c>
      <c r="H184" t="n">
        <v>178923.51</v>
      </c>
      <c r="I184" t="inlineStr">
        <is>
          <t>USD</t>
        </is>
      </c>
    </row>
    <row r="185">
      <c r="A185" t="inlineStr">
        <is>
          <t>BK10167</t>
        </is>
      </c>
      <c r="B185" s="3" t="inlineStr">
        <is>
          <t>2025-01-17</t>
        </is>
      </c>
      <c r="C185" t="inlineStr">
        <is>
          <t>Customer 011</t>
        </is>
      </c>
      <c r="D185" t="inlineStr">
        <is>
          <t xml:space="preserve">west </t>
        </is>
      </c>
      <c r="E185" t="inlineStr">
        <is>
          <t>AnalyticsAddon</t>
        </is>
      </c>
      <c r="F185" t="inlineStr">
        <is>
          <t>New License</t>
        </is>
      </c>
      <c r="G185" t="inlineStr">
        <is>
          <t>Sara Cohen</t>
        </is>
      </c>
      <c r="H185" t="n">
        <v>59407.22</v>
      </c>
      <c r="I185" t="inlineStr">
        <is>
          <t>USD</t>
        </is>
      </c>
    </row>
    <row r="186">
      <c r="A186" t="inlineStr">
        <is>
          <t>BK10365</t>
        </is>
      </c>
      <c r="B186" s="3" t="inlineStr">
        <is>
          <t>2024-02-24</t>
        </is>
      </c>
      <c r="C186" t="inlineStr">
        <is>
          <t>Customer 027</t>
        </is>
      </c>
      <c r="D186" t="inlineStr">
        <is>
          <t xml:space="preserve">East </t>
        </is>
      </c>
      <c r="E186" t="inlineStr">
        <is>
          <t>DataConnect</t>
        </is>
      </c>
      <c r="F186" t="inlineStr">
        <is>
          <t>Support</t>
        </is>
      </c>
      <c r="G186" t="inlineStr">
        <is>
          <t>Tom Becker</t>
        </is>
      </c>
      <c r="H186" t="n">
        <v>119925.83</v>
      </c>
      <c r="I186" t="inlineStr">
        <is>
          <t>USD</t>
        </is>
      </c>
    </row>
    <row r="187">
      <c r="A187" t="inlineStr">
        <is>
          <t>BK10016</t>
        </is>
      </c>
      <c r="B187" s="3" t="inlineStr">
        <is>
          <t>06/29/2025</t>
        </is>
      </c>
      <c r="C187" t="inlineStr">
        <is>
          <t>Customer 085</t>
        </is>
      </c>
      <c r="D187" t="inlineStr">
        <is>
          <t xml:space="preserve">west </t>
        </is>
      </c>
      <c r="E187" t="inlineStr">
        <is>
          <t>AnalyticsAddon</t>
        </is>
      </c>
      <c r="F187" t="inlineStr">
        <is>
          <t>Support</t>
        </is>
      </c>
      <c r="G187" t="inlineStr">
        <is>
          <t>Maria Garcia</t>
        </is>
      </c>
      <c r="H187" t="n">
        <v>96398.25999999999</v>
      </c>
      <c r="I187" t="inlineStr">
        <is>
          <t>GBP</t>
        </is>
      </c>
    </row>
    <row r="188">
      <c r="A188" t="inlineStr">
        <is>
          <t>BK10247</t>
        </is>
      </c>
      <c r="B188" s="3" t="inlineStr">
        <is>
          <t>2024-02-10</t>
        </is>
      </c>
      <c r="C188" t="inlineStr">
        <is>
          <t>Customer 103</t>
        </is>
      </c>
      <c r="D188" t="inlineStr">
        <is>
          <t xml:space="preserve">East </t>
        </is>
      </c>
      <c r="E188" t="inlineStr">
        <is>
          <t>DataConnect</t>
        </is>
      </c>
      <c r="F188" t="inlineStr">
        <is>
          <t>Renewal</t>
        </is>
      </c>
      <c r="G188" t="inlineStr">
        <is>
          <t>John Smith</t>
        </is>
      </c>
      <c r="H188" t="n">
        <v>156896.87</v>
      </c>
      <c r="I188" t="inlineStr">
        <is>
          <t>USD</t>
        </is>
      </c>
    </row>
    <row r="189">
      <c r="A189" t="inlineStr">
        <is>
          <t>BK10200</t>
        </is>
      </c>
      <c r="B189" s="4" t="n">
        <v>45455</v>
      </c>
      <c r="C189" t="inlineStr">
        <is>
          <t>Customer 025</t>
        </is>
      </c>
      <c r="D189" t="inlineStr">
        <is>
          <t>Central</t>
        </is>
      </c>
      <c r="E189" t="inlineStr">
        <is>
          <t>DataConnect</t>
        </is>
      </c>
      <c r="F189" t="inlineStr">
        <is>
          <t>Services</t>
        </is>
      </c>
      <c r="G189" t="inlineStr">
        <is>
          <t>Luis Ortega</t>
        </is>
      </c>
      <c r="H189" t="n">
        <v>91280.47</v>
      </c>
      <c r="I189" t="inlineStr">
        <is>
          <t>USD</t>
        </is>
      </c>
    </row>
    <row r="190">
      <c r="A190" t="inlineStr">
        <is>
          <t>BK10309</t>
        </is>
      </c>
      <c r="B190" s="3" t="inlineStr">
        <is>
          <t>2024-01-02</t>
        </is>
      </c>
      <c r="C190" t="inlineStr">
        <is>
          <t>Customer 010</t>
        </is>
      </c>
      <c r="D190" t="inlineStr">
        <is>
          <t>West</t>
        </is>
      </c>
      <c r="E190" t="inlineStr">
        <is>
          <t>AnalyticsAddon</t>
        </is>
      </c>
      <c r="F190" t="inlineStr">
        <is>
          <t>Services</t>
        </is>
      </c>
      <c r="G190" t="inlineStr">
        <is>
          <t>Sara Cohen</t>
        </is>
      </c>
      <c r="H190" t="n">
        <v>4643.79</v>
      </c>
      <c r="I190" t="inlineStr">
        <is>
          <t>GBP</t>
        </is>
      </c>
    </row>
    <row r="191">
      <c r="A191" t="inlineStr">
        <is>
          <t>BK10212</t>
        </is>
      </c>
      <c r="B191" s="4" t="n">
        <v>45677</v>
      </c>
      <c r="C191" t="inlineStr">
        <is>
          <t>Customer 059</t>
        </is>
      </c>
      <c r="D191" t="inlineStr">
        <is>
          <t xml:space="preserve">Central </t>
        </is>
      </c>
      <c r="E191" t="inlineStr">
        <is>
          <t>SecuritySuite</t>
        </is>
      </c>
      <c r="F191" t="inlineStr">
        <is>
          <t>Support</t>
        </is>
      </c>
      <c r="G191" t="inlineStr">
        <is>
          <t>Wei Chen</t>
        </is>
      </c>
      <c r="H191" t="n">
        <v>122628.74</v>
      </c>
      <c r="I191" t="inlineStr">
        <is>
          <t>CAD</t>
        </is>
      </c>
    </row>
    <row r="192">
      <c r="A192" t="inlineStr">
        <is>
          <t>BK10124</t>
        </is>
      </c>
      <c r="B192" s="4" t="n">
        <v>45425</v>
      </c>
      <c r="C192" t="inlineStr">
        <is>
          <t>Customer 015</t>
        </is>
      </c>
      <c r="D192" t="inlineStr">
        <is>
          <t xml:space="preserve">Central </t>
        </is>
      </c>
      <c r="E192" t="inlineStr">
        <is>
          <t>CorePlatform</t>
        </is>
      </c>
      <c r="F192" t="inlineStr">
        <is>
          <t>Renewal</t>
        </is>
      </c>
      <c r="G192" t="inlineStr">
        <is>
          <t>Wei Chen</t>
        </is>
      </c>
      <c r="H192" t="n">
        <v>5630.28</v>
      </c>
      <c r="I192" t="inlineStr">
        <is>
          <t>INR</t>
        </is>
      </c>
    </row>
    <row r="193">
      <c r="A193" t="inlineStr">
        <is>
          <t>BK10203</t>
        </is>
      </c>
      <c r="B193" s="3" t="inlineStr">
        <is>
          <t>01/09/2025</t>
        </is>
      </c>
      <c r="C193" t="inlineStr">
        <is>
          <t>Customer 006</t>
        </is>
      </c>
      <c r="D193" t="inlineStr">
        <is>
          <t>SOUTH</t>
        </is>
      </c>
      <c r="E193" t="inlineStr">
        <is>
          <t>CorePlatform</t>
        </is>
      </c>
      <c r="F193" t="inlineStr">
        <is>
          <t>Renewal</t>
        </is>
      </c>
      <c r="G193" t="inlineStr">
        <is>
          <t>Anna Kowalski</t>
        </is>
      </c>
      <c r="H193" t="n">
        <v>67166.71000000001</v>
      </c>
      <c r="I193" t="inlineStr">
        <is>
          <t>USD</t>
        </is>
      </c>
    </row>
    <row r="194">
      <c r="A194" t="inlineStr">
        <is>
          <t>BK10211</t>
        </is>
      </c>
      <c r="B194" s="4" t="n">
        <v>45805</v>
      </c>
      <c r="C194" t="inlineStr">
        <is>
          <t>Customer 091</t>
        </is>
      </c>
      <c r="D194" t="inlineStr">
        <is>
          <t>South</t>
        </is>
      </c>
      <c r="E194" t="inlineStr">
        <is>
          <t>AnalyticsAddon</t>
        </is>
      </c>
      <c r="F194" t="inlineStr">
        <is>
          <t>Support</t>
        </is>
      </c>
      <c r="G194" t="inlineStr">
        <is>
          <t>Priya Sharma</t>
        </is>
      </c>
      <c r="H194" t="n">
        <v>179667.75</v>
      </c>
      <c r="I194" t="inlineStr">
        <is>
          <t>EUR</t>
        </is>
      </c>
    </row>
    <row r="195">
      <c r="A195" t="inlineStr">
        <is>
          <t>BK10186</t>
        </is>
      </c>
      <c r="B195" s="3" t="inlineStr">
        <is>
          <t>08/07/2024</t>
        </is>
      </c>
      <c r="C195" t="inlineStr">
        <is>
          <t>Customer 026</t>
        </is>
      </c>
      <c r="D195" t="inlineStr">
        <is>
          <t>Central</t>
        </is>
      </c>
      <c r="E195" t="inlineStr">
        <is>
          <t>AnalyticsAddon</t>
        </is>
      </c>
      <c r="F195" t="inlineStr">
        <is>
          <t>New License</t>
        </is>
      </c>
      <c r="G195" t="inlineStr">
        <is>
          <t>Luis Ortega</t>
        </is>
      </c>
      <c r="H195" t="n">
        <v>83011.56</v>
      </c>
      <c r="I195" t="inlineStr">
        <is>
          <t>CAD</t>
        </is>
      </c>
    </row>
    <row r="196">
      <c r="A196" t="inlineStr">
        <is>
          <t>BK10347</t>
        </is>
      </c>
      <c r="B196" s="4" t="n">
        <v>45381</v>
      </c>
      <c r="C196" t="inlineStr">
        <is>
          <t>Customer 018</t>
        </is>
      </c>
      <c r="D196" t="inlineStr">
        <is>
          <t>central</t>
        </is>
      </c>
      <c r="E196" t="inlineStr">
        <is>
          <t>AnalyticsAddon</t>
        </is>
      </c>
      <c r="F196" t="inlineStr">
        <is>
          <t>Renewal</t>
        </is>
      </c>
      <c r="G196" t="inlineStr">
        <is>
          <t>Luis Ortega</t>
        </is>
      </c>
      <c r="H196" t="n">
        <v>114643.53</v>
      </c>
      <c r="I196" t="inlineStr">
        <is>
          <t>INR</t>
        </is>
      </c>
    </row>
    <row r="197">
      <c r="A197" t="inlineStr">
        <is>
          <t>BK10378</t>
        </is>
      </c>
      <c r="B197" s="4" t="n">
        <v>45776</v>
      </c>
      <c r="C197" t="inlineStr">
        <is>
          <t>Customer 036</t>
        </is>
      </c>
      <c r="D197" t="inlineStr">
        <is>
          <t>EAST</t>
        </is>
      </c>
      <c r="E197" t="inlineStr">
        <is>
          <t>AnalyticsAddon</t>
        </is>
      </c>
      <c r="F197" t="inlineStr">
        <is>
          <t>Services</t>
        </is>
      </c>
      <c r="G197" t="inlineStr">
        <is>
          <t>John Smith</t>
        </is>
      </c>
      <c r="H197" t="n">
        <v>9864.51</v>
      </c>
      <c r="I197" t="inlineStr">
        <is>
          <t>CAD</t>
        </is>
      </c>
    </row>
    <row r="198">
      <c r="A198" t="inlineStr">
        <is>
          <t>BK10198</t>
        </is>
      </c>
      <c r="B198" s="3" t="inlineStr">
        <is>
          <t>11/22/2024</t>
        </is>
      </c>
      <c r="C198" t="inlineStr">
        <is>
          <t>Customer 017</t>
        </is>
      </c>
      <c r="D198" t="inlineStr">
        <is>
          <t>central</t>
        </is>
      </c>
      <c r="E198" t="inlineStr">
        <is>
          <t>CorePlatform</t>
        </is>
      </c>
      <c r="F198" t="inlineStr">
        <is>
          <t>Support</t>
        </is>
      </c>
      <c r="G198" t="inlineStr">
        <is>
          <t>Luis Ortega</t>
        </is>
      </c>
      <c r="H198" t="n">
        <v>45787.6</v>
      </c>
      <c r="I198" t="inlineStr">
        <is>
          <t>USD</t>
        </is>
      </c>
    </row>
    <row r="199">
      <c r="A199" t="inlineStr">
        <is>
          <t>BK10239</t>
        </is>
      </c>
      <c r="B199" s="3" t="inlineStr">
        <is>
          <t>04/25/2024</t>
        </is>
      </c>
      <c r="C199" t="inlineStr">
        <is>
          <t>Customer 079</t>
        </is>
      </c>
      <c r="D199" t="inlineStr">
        <is>
          <t>East</t>
        </is>
      </c>
      <c r="E199" t="inlineStr">
        <is>
          <t>AnalyticsAddon</t>
        </is>
      </c>
      <c r="F199" t="inlineStr">
        <is>
          <t>Renewal</t>
        </is>
      </c>
      <c r="G199" t="inlineStr">
        <is>
          <t>Tom Becker</t>
        </is>
      </c>
      <c r="H199" t="n">
        <v>14910.49</v>
      </c>
      <c r="I199" t="inlineStr">
        <is>
          <t>EUR</t>
        </is>
      </c>
    </row>
    <row r="200">
      <c r="A200" t="inlineStr">
        <is>
          <t>BK10375</t>
        </is>
      </c>
      <c r="B200" s="4" t="n">
        <v>45360</v>
      </c>
      <c r="C200" t="inlineStr">
        <is>
          <t>Customer 072</t>
        </is>
      </c>
      <c r="D200" t="inlineStr">
        <is>
          <t>EAST</t>
        </is>
      </c>
      <c r="E200" t="inlineStr">
        <is>
          <t>SecuritySuite</t>
        </is>
      </c>
      <c r="F200" t="inlineStr">
        <is>
          <t>Support</t>
        </is>
      </c>
      <c r="G200" t="inlineStr">
        <is>
          <t>Tom Becker</t>
        </is>
      </c>
      <c r="H200" t="n">
        <v>94984.81</v>
      </c>
      <c r="I200" t="inlineStr">
        <is>
          <t>CAD</t>
        </is>
      </c>
    </row>
    <row r="201">
      <c r="A201" t="inlineStr">
        <is>
          <t>BK10360</t>
        </is>
      </c>
      <c r="B201" s="3" t="inlineStr">
        <is>
          <t>2024-09-12</t>
        </is>
      </c>
      <c r="C201" t="inlineStr">
        <is>
          <t>Customer 033</t>
        </is>
      </c>
      <c r="D201" t="inlineStr">
        <is>
          <t>East</t>
        </is>
      </c>
      <c r="E201" t="inlineStr">
        <is>
          <t>CorePlatform</t>
        </is>
      </c>
      <c r="F201" t="inlineStr">
        <is>
          <t>New License</t>
        </is>
      </c>
      <c r="G201" t="inlineStr">
        <is>
          <t>Tom Becker</t>
        </is>
      </c>
      <c r="H201" t="n">
        <v>71310.87</v>
      </c>
      <c r="I201" t="inlineStr">
        <is>
          <t>INR</t>
        </is>
      </c>
    </row>
    <row r="202">
      <c r="A202" t="inlineStr">
        <is>
          <t>BK10238</t>
        </is>
      </c>
      <c r="B202" s="3" t="inlineStr">
        <is>
          <t>2025-03-10</t>
        </is>
      </c>
      <c r="C202" t="inlineStr">
        <is>
          <t>Customer 032</t>
        </is>
      </c>
      <c r="D202" t="inlineStr">
        <is>
          <t>SOUTH</t>
        </is>
      </c>
      <c r="E202" t="inlineStr">
        <is>
          <t>SecuritySuite</t>
        </is>
      </c>
      <c r="F202" t="inlineStr">
        <is>
          <t>Renewal</t>
        </is>
      </c>
      <c r="G202" t="inlineStr">
        <is>
          <t>Priya Sharma</t>
        </is>
      </c>
      <c r="H202" t="n">
        <v>51790</v>
      </c>
      <c r="I202" t="inlineStr">
        <is>
          <t>CAD</t>
        </is>
      </c>
    </row>
    <row r="203">
      <c r="A203" t="inlineStr">
        <is>
          <t>BK10262</t>
        </is>
      </c>
      <c r="B203" s="4" t="n">
        <v>45778</v>
      </c>
      <c r="C203" t="inlineStr">
        <is>
          <t>Customer 119</t>
        </is>
      </c>
      <c r="D203" t="inlineStr">
        <is>
          <t>Central</t>
        </is>
      </c>
      <c r="E203" t="inlineStr">
        <is>
          <t>SecuritySuite</t>
        </is>
      </c>
      <c r="F203" t="inlineStr">
        <is>
          <t>New License</t>
        </is>
      </c>
      <c r="G203" t="inlineStr">
        <is>
          <t>Wei Chen</t>
        </is>
      </c>
      <c r="H203" t="n">
        <v>34745.75</v>
      </c>
      <c r="I203" t="inlineStr">
        <is>
          <t>CAD</t>
        </is>
      </c>
    </row>
    <row r="204">
      <c r="A204" t="inlineStr">
        <is>
          <t>BK10173</t>
        </is>
      </c>
      <c r="B204" s="4" t="n">
        <v>45688</v>
      </c>
      <c r="C204" t="inlineStr">
        <is>
          <t>Customer 096</t>
        </is>
      </c>
      <c r="D204" t="inlineStr">
        <is>
          <t>Central</t>
        </is>
      </c>
      <c r="E204" t="inlineStr">
        <is>
          <t>SecuritySuite</t>
        </is>
      </c>
      <c r="F204" t="inlineStr">
        <is>
          <t>New License</t>
        </is>
      </c>
      <c r="G204" t="inlineStr">
        <is>
          <t>Luis Ortega</t>
        </is>
      </c>
      <c r="H204" t="n">
        <v>64030.04</v>
      </c>
      <c r="I204" t="inlineStr">
        <is>
          <t>INR</t>
        </is>
      </c>
    </row>
    <row r="205">
      <c r="A205" t="inlineStr">
        <is>
          <t>BK10145</t>
        </is>
      </c>
      <c r="B205" s="3" t="inlineStr">
        <is>
          <t>11/28/2024</t>
        </is>
      </c>
      <c r="C205" t="inlineStr">
        <is>
          <t>Customer 107</t>
        </is>
      </c>
      <c r="D205" t="inlineStr">
        <is>
          <t>West</t>
        </is>
      </c>
      <c r="E205" t="inlineStr">
        <is>
          <t>SecuritySuite</t>
        </is>
      </c>
      <c r="F205" t="inlineStr">
        <is>
          <t>New License</t>
        </is>
      </c>
      <c r="G205" t="inlineStr">
        <is>
          <t>Sara Cohen</t>
        </is>
      </c>
      <c r="H205" t="n">
        <v>80297.98</v>
      </c>
      <c r="I205" t="inlineStr">
        <is>
          <t>USD</t>
        </is>
      </c>
    </row>
    <row r="206">
      <c r="A206" t="inlineStr">
        <is>
          <t>BK10123</t>
        </is>
      </c>
      <c r="B206" s="4" t="n">
        <v>45513</v>
      </c>
      <c r="C206" t="inlineStr">
        <is>
          <t>Customer 100</t>
        </is>
      </c>
      <c r="D206" t="inlineStr">
        <is>
          <t>West</t>
        </is>
      </c>
      <c r="E206" t="inlineStr">
        <is>
          <t>CorePlatform</t>
        </is>
      </c>
      <c r="F206" t="inlineStr">
        <is>
          <t>Support</t>
        </is>
      </c>
      <c r="G206" t="inlineStr">
        <is>
          <t>Sara Cohen</t>
        </is>
      </c>
      <c r="H206" t="n">
        <v>154937.88</v>
      </c>
      <c r="I206" t="inlineStr">
        <is>
          <t>USD</t>
        </is>
      </c>
    </row>
    <row r="207">
      <c r="A207" t="inlineStr">
        <is>
          <t>BK10264</t>
        </is>
      </c>
      <c r="B207" s="4" t="n">
        <v>45690</v>
      </c>
      <c r="C207" t="inlineStr">
        <is>
          <t>Customer 097</t>
        </is>
      </c>
      <c r="D207" t="inlineStr">
        <is>
          <t xml:space="preserve">Central </t>
        </is>
      </c>
      <c r="E207" t="inlineStr">
        <is>
          <t>AnalyticsAddon</t>
        </is>
      </c>
      <c r="F207" t="inlineStr">
        <is>
          <t>New License</t>
        </is>
      </c>
      <c r="G207" t="inlineStr">
        <is>
          <t>Luis Ortega</t>
        </is>
      </c>
      <c r="H207" t="n">
        <v>91640.33</v>
      </c>
      <c r="I207" t="inlineStr">
        <is>
          <t>BRL</t>
        </is>
      </c>
    </row>
    <row r="208">
      <c r="A208" t="inlineStr">
        <is>
          <t>BK10281</t>
        </is>
      </c>
      <c r="B208" s="3" t="inlineStr">
        <is>
          <t>02/15/2024</t>
        </is>
      </c>
      <c r="C208" t="inlineStr">
        <is>
          <t>Customer 102</t>
        </is>
      </c>
      <c r="D208" t="inlineStr">
        <is>
          <t>SOUTH</t>
        </is>
      </c>
      <c r="E208" t="inlineStr">
        <is>
          <t>CorePlatform</t>
        </is>
      </c>
      <c r="F208" t="inlineStr">
        <is>
          <t>New License</t>
        </is>
      </c>
      <c r="G208" t="inlineStr">
        <is>
          <t>Anna Kowalski</t>
        </is>
      </c>
      <c r="H208" t="n">
        <v>20453.36</v>
      </c>
      <c r="I208" t="inlineStr">
        <is>
          <t>USD</t>
        </is>
      </c>
    </row>
    <row r="209">
      <c r="A209" t="inlineStr">
        <is>
          <t>BK10026</t>
        </is>
      </c>
      <c r="B209" s="3" t="inlineStr">
        <is>
          <t>10/19/2024</t>
        </is>
      </c>
      <c r="C209" t="inlineStr">
        <is>
          <t>Customer 020</t>
        </is>
      </c>
      <c r="D209" t="inlineStr">
        <is>
          <t>South</t>
        </is>
      </c>
      <c r="E209" t="inlineStr">
        <is>
          <t>SecuritySuite</t>
        </is>
      </c>
      <c r="F209" t="inlineStr">
        <is>
          <t>Renewal</t>
        </is>
      </c>
      <c r="G209" t="inlineStr">
        <is>
          <t>Anna Kowalski</t>
        </is>
      </c>
      <c r="H209" t="n">
        <v>174461.56</v>
      </c>
      <c r="I209" t="inlineStr">
        <is>
          <t>EUR</t>
        </is>
      </c>
    </row>
    <row r="210">
      <c r="A210" t="inlineStr">
        <is>
          <t>BK10040</t>
        </is>
      </c>
      <c r="B210" s="4" t="n">
        <v>45632</v>
      </c>
      <c r="C210" t="inlineStr">
        <is>
          <t>Customer 035</t>
        </is>
      </c>
      <c r="D210" t="inlineStr">
        <is>
          <t>South</t>
        </is>
      </c>
      <c r="E210" t="inlineStr">
        <is>
          <t>CorePlatform</t>
        </is>
      </c>
      <c r="F210" t="inlineStr">
        <is>
          <t>Services</t>
        </is>
      </c>
      <c r="G210" t="inlineStr">
        <is>
          <t>Priya Sharma</t>
        </is>
      </c>
      <c r="H210" t="n">
        <v>157373.52</v>
      </c>
      <c r="I210" t="inlineStr">
        <is>
          <t>CAD</t>
        </is>
      </c>
    </row>
    <row r="211">
      <c r="A211" t="inlineStr">
        <is>
          <t>BK10015</t>
        </is>
      </c>
      <c r="B211" s="3" t="inlineStr">
        <is>
          <t>01/06/2025</t>
        </is>
      </c>
      <c r="C211" t="inlineStr">
        <is>
          <t>Customer 008</t>
        </is>
      </c>
      <c r="D211" t="inlineStr">
        <is>
          <t>Central</t>
        </is>
      </c>
      <c r="E211" t="inlineStr">
        <is>
          <t>CorePlatform</t>
        </is>
      </c>
      <c r="F211" t="inlineStr">
        <is>
          <t>New License</t>
        </is>
      </c>
      <c r="G211" t="inlineStr">
        <is>
          <t>Wei Chen</t>
        </is>
      </c>
      <c r="H211" t="n">
        <v>132547.64</v>
      </c>
      <c r="I211" t="inlineStr">
        <is>
          <t>INR</t>
        </is>
      </c>
    </row>
    <row r="212">
      <c r="A212" t="inlineStr">
        <is>
          <t>BK10185</t>
        </is>
      </c>
      <c r="B212" s="3" t="inlineStr">
        <is>
          <t>2024-07-09</t>
        </is>
      </c>
      <c r="C212" t="inlineStr">
        <is>
          <t>Customer 117</t>
        </is>
      </c>
      <c r="D212" t="inlineStr">
        <is>
          <t>south</t>
        </is>
      </c>
      <c r="E212" t="inlineStr">
        <is>
          <t>CorePlatform</t>
        </is>
      </c>
      <c r="F212" t="inlineStr">
        <is>
          <t>Support</t>
        </is>
      </c>
      <c r="G212" t="inlineStr">
        <is>
          <t>Anna Kowalski</t>
        </is>
      </c>
      <c r="H212" t="n">
        <v>140168.71</v>
      </c>
      <c r="I212" t="inlineStr">
        <is>
          <t>GBP</t>
        </is>
      </c>
    </row>
    <row r="213">
      <c r="A213" t="inlineStr">
        <is>
          <t>BK10178</t>
        </is>
      </c>
      <c r="B213" s="3" t="inlineStr">
        <is>
          <t>02/13/2025</t>
        </is>
      </c>
      <c r="C213" t="inlineStr">
        <is>
          <t>Customer 044</t>
        </is>
      </c>
      <c r="D213" t="inlineStr">
        <is>
          <t>South</t>
        </is>
      </c>
      <c r="E213" t="inlineStr">
        <is>
          <t>DataConnect</t>
        </is>
      </c>
      <c r="F213" t="inlineStr">
        <is>
          <t>Services</t>
        </is>
      </c>
      <c r="G213" t="inlineStr">
        <is>
          <t>Anna Kowalski</t>
        </is>
      </c>
      <c r="H213" t="n">
        <v>68020.41</v>
      </c>
      <c r="I213" t="inlineStr">
        <is>
          <t>INR</t>
        </is>
      </c>
    </row>
    <row r="214">
      <c r="A214" t="inlineStr">
        <is>
          <t>BK10358</t>
        </is>
      </c>
      <c r="B214" s="3" t="inlineStr">
        <is>
          <t>02/04/2025</t>
        </is>
      </c>
      <c r="C214" t="inlineStr">
        <is>
          <t>Customer 078</t>
        </is>
      </c>
      <c r="D214" t="inlineStr">
        <is>
          <t>east</t>
        </is>
      </c>
      <c r="E214" t="inlineStr">
        <is>
          <t>AnalyticsAddon</t>
        </is>
      </c>
      <c r="F214" t="inlineStr">
        <is>
          <t>New License</t>
        </is>
      </c>
      <c r="G214" t="inlineStr">
        <is>
          <t>John Smith</t>
        </is>
      </c>
      <c r="H214" t="n">
        <v>168793.74</v>
      </c>
      <c r="I214" t="inlineStr">
        <is>
          <t>USD</t>
        </is>
      </c>
    </row>
    <row r="215">
      <c r="A215" t="inlineStr">
        <is>
          <t>BK10028</t>
        </is>
      </c>
      <c r="B215" s="4" t="n">
        <v>45482</v>
      </c>
      <c r="C215" t="inlineStr">
        <is>
          <t>Customer 087</t>
        </is>
      </c>
      <c r="D215" t="inlineStr">
        <is>
          <t xml:space="preserve">East </t>
        </is>
      </c>
      <c r="E215" t="inlineStr">
        <is>
          <t>DataConnect</t>
        </is>
      </c>
      <c r="F215" t="inlineStr">
        <is>
          <t>New License</t>
        </is>
      </c>
      <c r="G215" t="inlineStr">
        <is>
          <t>John Smith</t>
        </is>
      </c>
      <c r="H215" t="n">
        <v>169662.51</v>
      </c>
      <c r="I215" t="inlineStr">
        <is>
          <t>EUR</t>
        </is>
      </c>
    </row>
    <row r="216">
      <c r="A216" t="inlineStr">
        <is>
          <t>BK10042</t>
        </is>
      </c>
      <c r="B216" s="3" t="inlineStr">
        <is>
          <t>12/02/2024</t>
        </is>
      </c>
      <c r="C216" t="inlineStr">
        <is>
          <t>Customer 099</t>
        </is>
      </c>
      <c r="D216" t="inlineStr">
        <is>
          <t>central</t>
        </is>
      </c>
      <c r="E216" t="inlineStr">
        <is>
          <t>SecuritySuite</t>
        </is>
      </c>
      <c r="F216" t="inlineStr">
        <is>
          <t>Services</t>
        </is>
      </c>
      <c r="G216" t="inlineStr">
        <is>
          <t>Wei Chen</t>
        </is>
      </c>
      <c r="H216" t="n">
        <v>123274.71</v>
      </c>
      <c r="I216" t="inlineStr">
        <is>
          <t>CAD</t>
        </is>
      </c>
    </row>
    <row r="217">
      <c r="A217" t="inlineStr">
        <is>
          <t>BK10387</t>
        </is>
      </c>
      <c r="B217" s="4" t="n">
        <v>45503</v>
      </c>
      <c r="C217" t="inlineStr">
        <is>
          <t>Customer 066</t>
        </is>
      </c>
      <c r="D217" t="inlineStr">
        <is>
          <t>Central</t>
        </is>
      </c>
      <c r="E217" t="inlineStr">
        <is>
          <t>CorePlatform</t>
        </is>
      </c>
      <c r="F217" t="inlineStr">
        <is>
          <t>Services</t>
        </is>
      </c>
      <c r="G217" t="inlineStr">
        <is>
          <t>Luis Ortega</t>
        </is>
      </c>
      <c r="H217" t="n">
        <v>164338.23</v>
      </c>
      <c r="I217" t="inlineStr">
        <is>
          <t>GBP</t>
        </is>
      </c>
    </row>
    <row r="218">
      <c r="A218" t="inlineStr">
        <is>
          <t>BK10166</t>
        </is>
      </c>
      <c r="B218" s="4" t="n">
        <v>45739</v>
      </c>
      <c r="C218" t="inlineStr">
        <is>
          <t>Customer 105</t>
        </is>
      </c>
      <c r="D218" t="inlineStr">
        <is>
          <t>EAST</t>
        </is>
      </c>
      <c r="E218" t="inlineStr">
        <is>
          <t>SecuritySuite</t>
        </is>
      </c>
      <c r="F218" t="inlineStr">
        <is>
          <t>New License</t>
        </is>
      </c>
      <c r="G218" t="inlineStr">
        <is>
          <t>John Smith</t>
        </is>
      </c>
      <c r="H218" t="n">
        <v>76436.75</v>
      </c>
      <c r="I218" t="inlineStr">
        <is>
          <t>USD</t>
        </is>
      </c>
    </row>
    <row r="219">
      <c r="A219" t="inlineStr">
        <is>
          <t>BK10107</t>
        </is>
      </c>
      <c r="B219" s="3" t="inlineStr">
        <is>
          <t>05/26/2024</t>
        </is>
      </c>
      <c r="C219" t="inlineStr">
        <is>
          <t>Customer 082</t>
        </is>
      </c>
      <c r="D219" t="inlineStr">
        <is>
          <t xml:space="preserve">west </t>
        </is>
      </c>
      <c r="E219" t="inlineStr">
        <is>
          <t>DataConnect</t>
        </is>
      </c>
      <c r="F219" t="inlineStr">
        <is>
          <t>Support</t>
        </is>
      </c>
      <c r="G219" t="inlineStr">
        <is>
          <t>Sara Cohen</t>
        </is>
      </c>
      <c r="H219" t="n">
        <v>121030.81</v>
      </c>
      <c r="I219" t="inlineStr">
        <is>
          <t>CAD</t>
        </is>
      </c>
    </row>
    <row r="220">
      <c r="A220" t="inlineStr">
        <is>
          <t>BK10204</t>
        </is>
      </c>
      <c r="B220" s="3" t="inlineStr">
        <is>
          <t>2025-01-30</t>
        </is>
      </c>
      <c r="C220" t="inlineStr">
        <is>
          <t>Customer 106</t>
        </is>
      </c>
      <c r="D220" t="inlineStr">
        <is>
          <t>south</t>
        </is>
      </c>
      <c r="E220" t="inlineStr">
        <is>
          <t>CorePlatform</t>
        </is>
      </c>
      <c r="F220" t="inlineStr">
        <is>
          <t>Renewal</t>
        </is>
      </c>
      <c r="G220" t="inlineStr">
        <is>
          <t>Anna Kowalski</t>
        </is>
      </c>
      <c r="H220" t="n">
        <v>175589.66</v>
      </c>
      <c r="I220" t="inlineStr">
        <is>
          <t>USD</t>
        </is>
      </c>
    </row>
    <row r="221">
      <c r="A221" t="inlineStr">
        <is>
          <t>BK10122</t>
        </is>
      </c>
      <c r="B221" s="4" t="n">
        <v>45313</v>
      </c>
      <c r="C221" t="inlineStr">
        <is>
          <t>Customer 032</t>
        </is>
      </c>
      <c r="D221" t="inlineStr">
        <is>
          <t xml:space="preserve">East </t>
        </is>
      </c>
      <c r="E221" t="inlineStr">
        <is>
          <t>AnalyticsAddon</t>
        </is>
      </c>
      <c r="F221" t="inlineStr">
        <is>
          <t>New License</t>
        </is>
      </c>
      <c r="G221" t="inlineStr">
        <is>
          <t>Tom Becker</t>
        </is>
      </c>
      <c r="H221" t="n">
        <v>149877.76</v>
      </c>
      <c r="I221" t="inlineStr">
        <is>
          <t>EUR</t>
        </is>
      </c>
    </row>
    <row r="222">
      <c r="A222" t="inlineStr">
        <is>
          <t>BK10373</t>
        </is>
      </c>
      <c r="B222" s="3" t="inlineStr">
        <is>
          <t>05/29/2025</t>
        </is>
      </c>
      <c r="C222" t="inlineStr">
        <is>
          <t>Customer 097</t>
        </is>
      </c>
      <c r="D222" t="inlineStr">
        <is>
          <t xml:space="preserve">west </t>
        </is>
      </c>
      <c r="E222" t="inlineStr">
        <is>
          <t>AnalyticsAddon</t>
        </is>
      </c>
      <c r="F222" t="inlineStr">
        <is>
          <t>Renewal</t>
        </is>
      </c>
      <c r="G222" t="inlineStr">
        <is>
          <t>Maria Garcia</t>
        </is>
      </c>
      <c r="H222" t="n">
        <v>175073.18</v>
      </c>
      <c r="I222" t="inlineStr">
        <is>
          <t>INR</t>
        </is>
      </c>
    </row>
    <row r="223">
      <c r="A223" t="inlineStr">
        <is>
          <t>BK10367</t>
        </is>
      </c>
      <c r="B223" s="4" t="n">
        <v>45593</v>
      </c>
      <c r="C223" t="inlineStr">
        <is>
          <t>Customer 013</t>
        </is>
      </c>
      <c r="D223" t="inlineStr">
        <is>
          <t>South</t>
        </is>
      </c>
      <c r="E223" t="inlineStr">
        <is>
          <t>AnalyticsAddon</t>
        </is>
      </c>
      <c r="F223" t="inlineStr">
        <is>
          <t>Renewal</t>
        </is>
      </c>
      <c r="G223" t="inlineStr">
        <is>
          <t>Priya Sharma</t>
        </is>
      </c>
      <c r="H223" t="n">
        <v>115959.75</v>
      </c>
      <c r="I223" t="inlineStr">
        <is>
          <t>BRL</t>
        </is>
      </c>
    </row>
    <row r="224">
      <c r="A224" t="inlineStr">
        <is>
          <t>BK10098</t>
        </is>
      </c>
      <c r="B224" s="4" t="n">
        <v>45597</v>
      </c>
      <c r="C224" t="inlineStr">
        <is>
          <t>Customer 058</t>
        </is>
      </c>
      <c r="D224" t="inlineStr">
        <is>
          <t>south</t>
        </is>
      </c>
      <c r="E224" t="inlineStr">
        <is>
          <t>DataConnect</t>
        </is>
      </c>
      <c r="F224" t="inlineStr">
        <is>
          <t>Support</t>
        </is>
      </c>
      <c r="G224" t="inlineStr">
        <is>
          <t>Priya Sharma</t>
        </is>
      </c>
      <c r="H224" t="n">
        <v>61841.87</v>
      </c>
      <c r="I224" t="inlineStr">
        <is>
          <t>INR</t>
        </is>
      </c>
    </row>
    <row r="225">
      <c r="A225" t="inlineStr">
        <is>
          <t>BK10317</t>
        </is>
      </c>
      <c r="B225" s="4" t="n">
        <v>45661</v>
      </c>
      <c r="C225" t="inlineStr">
        <is>
          <t>Customer 050</t>
        </is>
      </c>
      <c r="D225" t="inlineStr">
        <is>
          <t xml:space="preserve">Central </t>
        </is>
      </c>
      <c r="E225" t="inlineStr">
        <is>
          <t>DataConnect</t>
        </is>
      </c>
      <c r="F225" t="inlineStr">
        <is>
          <t>Support</t>
        </is>
      </c>
      <c r="G225" t="inlineStr">
        <is>
          <t>Wei Chen</t>
        </is>
      </c>
      <c r="H225" t="n">
        <v>99705.05</v>
      </c>
      <c r="I225" t="inlineStr">
        <is>
          <t>USD</t>
        </is>
      </c>
    </row>
    <row r="226">
      <c r="A226" t="inlineStr">
        <is>
          <t>BK10069</t>
        </is>
      </c>
      <c r="B226" s="4" t="n">
        <v>45568</v>
      </c>
      <c r="C226" t="inlineStr">
        <is>
          <t>Customer 056</t>
        </is>
      </c>
      <c r="D226" t="inlineStr">
        <is>
          <t>south</t>
        </is>
      </c>
      <c r="E226" t="inlineStr">
        <is>
          <t>SecuritySuite</t>
        </is>
      </c>
      <c r="F226" t="inlineStr">
        <is>
          <t>Support</t>
        </is>
      </c>
      <c r="G226" t="inlineStr">
        <is>
          <t>Anna Kowalski</t>
        </is>
      </c>
      <c r="H226" t="n">
        <v>153753.23</v>
      </c>
      <c r="I226" t="inlineStr">
        <is>
          <t>INR</t>
        </is>
      </c>
    </row>
    <row r="227">
      <c r="A227" t="inlineStr">
        <is>
          <t>BK10340</t>
        </is>
      </c>
      <c r="B227" s="4" t="n">
        <v>45333</v>
      </c>
      <c r="C227" t="inlineStr">
        <is>
          <t>Customer 019</t>
        </is>
      </c>
      <c r="D227" t="inlineStr">
        <is>
          <t>West</t>
        </is>
      </c>
      <c r="E227" t="inlineStr">
        <is>
          <t>AnalyticsAddon</t>
        </is>
      </c>
      <c r="F227" t="inlineStr">
        <is>
          <t>Support</t>
        </is>
      </c>
      <c r="G227" t="inlineStr">
        <is>
          <t>Sara Cohen</t>
        </is>
      </c>
      <c r="H227" t="n">
        <v>73135.27</v>
      </c>
      <c r="I227" t="inlineStr">
        <is>
          <t>USD</t>
        </is>
      </c>
    </row>
    <row r="228">
      <c r="A228" t="inlineStr">
        <is>
          <t>BK10226</t>
        </is>
      </c>
      <c r="B228" s="4" t="n">
        <v>45565</v>
      </c>
      <c r="C228" t="inlineStr">
        <is>
          <t>Customer 075</t>
        </is>
      </c>
      <c r="D228" t="inlineStr">
        <is>
          <t xml:space="preserve">Central </t>
        </is>
      </c>
      <c r="E228" t="inlineStr">
        <is>
          <t>CorePlatform</t>
        </is>
      </c>
      <c r="F228" t="inlineStr">
        <is>
          <t>Support</t>
        </is>
      </c>
      <c r="G228" t="inlineStr">
        <is>
          <t>Luis Ortega</t>
        </is>
      </c>
      <c r="H228" t="n">
        <v>118701.96</v>
      </c>
      <c r="I228" t="inlineStr">
        <is>
          <t>GBP</t>
        </is>
      </c>
    </row>
    <row r="229">
      <c r="A229" t="inlineStr">
        <is>
          <t>BK10292</t>
        </is>
      </c>
      <c r="B229" s="3" t="inlineStr">
        <is>
          <t>06/26/2024</t>
        </is>
      </c>
      <c r="C229" t="inlineStr">
        <is>
          <t>Customer 037</t>
        </is>
      </c>
      <c r="D229" t="inlineStr">
        <is>
          <t>West</t>
        </is>
      </c>
      <c r="E229" t="inlineStr">
        <is>
          <t>AnalyticsAddon</t>
        </is>
      </c>
      <c r="F229" t="inlineStr">
        <is>
          <t>Support</t>
        </is>
      </c>
      <c r="G229" t="inlineStr">
        <is>
          <t>Sara Cohen</t>
        </is>
      </c>
      <c r="H229" t="n">
        <v>152031.38</v>
      </c>
      <c r="I229" t="inlineStr">
        <is>
          <t>GBP</t>
        </is>
      </c>
    </row>
    <row r="230">
      <c r="A230" t="inlineStr">
        <is>
          <t>BK10326</t>
        </is>
      </c>
      <c r="B230" s="3" t="inlineStr">
        <is>
          <t>06/10/2024</t>
        </is>
      </c>
      <c r="C230" t="inlineStr">
        <is>
          <t>Customer 115</t>
        </is>
      </c>
      <c r="D230" t="inlineStr">
        <is>
          <t xml:space="preserve">Central </t>
        </is>
      </c>
      <c r="E230" t="inlineStr">
        <is>
          <t>CorePlatform</t>
        </is>
      </c>
      <c r="F230" t="inlineStr">
        <is>
          <t>Renewal</t>
        </is>
      </c>
      <c r="G230" t="inlineStr">
        <is>
          <t>Wei Chen</t>
        </is>
      </c>
      <c r="H230" t="n">
        <v>134118.05</v>
      </c>
      <c r="I230" t="inlineStr">
        <is>
          <t>USD</t>
        </is>
      </c>
    </row>
    <row r="231">
      <c r="A231" t="inlineStr">
        <is>
          <t>BK10376</t>
        </is>
      </c>
      <c r="B231" s="4" t="n">
        <v>45304</v>
      </c>
      <c r="C231" t="inlineStr">
        <is>
          <t>Customer 054</t>
        </is>
      </c>
      <c r="D231" t="inlineStr">
        <is>
          <t>South</t>
        </is>
      </c>
      <c r="E231" t="inlineStr">
        <is>
          <t>AnalyticsAddon</t>
        </is>
      </c>
      <c r="F231" t="inlineStr">
        <is>
          <t>New License</t>
        </is>
      </c>
      <c r="G231" t="inlineStr">
        <is>
          <t>Priya Sharma</t>
        </is>
      </c>
      <c r="H231" t="n">
        <v>166712.29</v>
      </c>
      <c r="I231" t="inlineStr">
        <is>
          <t>EUR</t>
        </is>
      </c>
    </row>
    <row r="232">
      <c r="A232" t="inlineStr">
        <is>
          <t>BK10087</t>
        </is>
      </c>
      <c r="B232" s="3" t="inlineStr">
        <is>
          <t>05/20/2025</t>
        </is>
      </c>
      <c r="C232" t="inlineStr">
        <is>
          <t>Customer 077</t>
        </is>
      </c>
      <c r="D232" t="inlineStr">
        <is>
          <t>South</t>
        </is>
      </c>
      <c r="E232" t="inlineStr">
        <is>
          <t>DataConnect</t>
        </is>
      </c>
      <c r="F232" t="inlineStr">
        <is>
          <t>Support</t>
        </is>
      </c>
      <c r="G232" t="inlineStr">
        <is>
          <t>Priya Sharma</t>
        </is>
      </c>
      <c r="H232" t="n">
        <v>109857.31</v>
      </c>
      <c r="I232" t="inlineStr">
        <is>
          <t>USD</t>
        </is>
      </c>
    </row>
    <row r="233">
      <c r="A233" t="inlineStr">
        <is>
          <t>BK10208</t>
        </is>
      </c>
      <c r="B233" s="3" t="inlineStr">
        <is>
          <t>2024-12-05</t>
        </is>
      </c>
      <c r="C233" t="inlineStr">
        <is>
          <t>Customer 075</t>
        </is>
      </c>
      <c r="D233" t="inlineStr">
        <is>
          <t>east</t>
        </is>
      </c>
      <c r="E233" t="inlineStr">
        <is>
          <t>CorePlatform</t>
        </is>
      </c>
      <c r="F233" t="inlineStr">
        <is>
          <t>Services</t>
        </is>
      </c>
      <c r="G233" t="inlineStr">
        <is>
          <t>Tom Becker</t>
        </is>
      </c>
      <c r="H233" t="n">
        <v>49998.89</v>
      </c>
      <c r="I233" t="inlineStr">
        <is>
          <t>GBP</t>
        </is>
      </c>
    </row>
    <row r="234">
      <c r="A234" t="inlineStr">
        <is>
          <t>BK10095</t>
        </is>
      </c>
      <c r="B234" s="3" t="inlineStr">
        <is>
          <t>2024-04-26</t>
        </is>
      </c>
      <c r="C234" t="inlineStr">
        <is>
          <t>Customer 083</t>
        </is>
      </c>
      <c r="D234" t="inlineStr">
        <is>
          <t>South</t>
        </is>
      </c>
      <c r="E234" t="inlineStr">
        <is>
          <t>DataConnect</t>
        </is>
      </c>
      <c r="F234" t="inlineStr">
        <is>
          <t>Support</t>
        </is>
      </c>
      <c r="G234" t="inlineStr">
        <is>
          <t>Priya Sharma</t>
        </is>
      </c>
      <c r="H234" t="n">
        <v>93070.35000000001</v>
      </c>
      <c r="I234" t="inlineStr">
        <is>
          <t>USD</t>
        </is>
      </c>
    </row>
    <row r="235">
      <c r="A235" t="inlineStr">
        <is>
          <t>BK10357</t>
        </is>
      </c>
      <c r="B235" s="4" t="n">
        <v>45471</v>
      </c>
      <c r="C235" t="inlineStr">
        <is>
          <t>Customer 094</t>
        </is>
      </c>
      <c r="D235" t="inlineStr">
        <is>
          <t>south</t>
        </is>
      </c>
      <c r="E235" t="inlineStr">
        <is>
          <t>SecuritySuite</t>
        </is>
      </c>
      <c r="F235" t="inlineStr">
        <is>
          <t>Renewal</t>
        </is>
      </c>
      <c r="G235" t="inlineStr">
        <is>
          <t>Anna Kowalski</t>
        </is>
      </c>
      <c r="H235" t="n">
        <v>34454.37</v>
      </c>
      <c r="I235" t="inlineStr">
        <is>
          <t>USD</t>
        </is>
      </c>
    </row>
    <row r="236">
      <c r="A236" t="inlineStr">
        <is>
          <t>BK10331</t>
        </is>
      </c>
      <c r="B236" s="4" t="n">
        <v>45603</v>
      </c>
      <c r="C236" t="inlineStr">
        <is>
          <t>Customer 048</t>
        </is>
      </c>
      <c r="D236" t="inlineStr">
        <is>
          <t>West</t>
        </is>
      </c>
      <c r="E236" t="inlineStr">
        <is>
          <t>DataConnect</t>
        </is>
      </c>
      <c r="F236" t="inlineStr">
        <is>
          <t>Renewal</t>
        </is>
      </c>
      <c r="G236" t="inlineStr">
        <is>
          <t>Sara Cohen</t>
        </is>
      </c>
      <c r="H236" t="n">
        <v>132646.01</v>
      </c>
      <c r="I236" t="inlineStr">
        <is>
          <t>EUR</t>
        </is>
      </c>
    </row>
    <row r="237">
      <c r="A237" t="inlineStr">
        <is>
          <t>BK10224</t>
        </is>
      </c>
      <c r="B237" s="3" t="inlineStr">
        <is>
          <t>10/29/2024</t>
        </is>
      </c>
      <c r="C237" t="inlineStr">
        <is>
          <t>Customer 079</t>
        </is>
      </c>
      <c r="D237" t="inlineStr">
        <is>
          <t>West</t>
        </is>
      </c>
      <c r="E237" t="inlineStr">
        <is>
          <t>DataConnect</t>
        </is>
      </c>
      <c r="F237" t="inlineStr">
        <is>
          <t>Services</t>
        </is>
      </c>
      <c r="G237" t="inlineStr">
        <is>
          <t>Maria Garcia</t>
        </is>
      </c>
      <c r="H237" t="n">
        <v>94204.67999999999</v>
      </c>
      <c r="I237" t="inlineStr">
        <is>
          <t>USD</t>
        </is>
      </c>
    </row>
    <row r="238">
      <c r="A238" t="inlineStr">
        <is>
          <t>BK10348</t>
        </is>
      </c>
      <c r="B238" s="3" t="inlineStr">
        <is>
          <t>01/20/2024</t>
        </is>
      </c>
      <c r="C238" t="inlineStr">
        <is>
          <t>Customer 062</t>
        </is>
      </c>
      <c r="D238" t="inlineStr">
        <is>
          <t>south</t>
        </is>
      </c>
      <c r="E238" t="inlineStr">
        <is>
          <t>DataConnect</t>
        </is>
      </c>
      <c r="F238" t="inlineStr">
        <is>
          <t>Support</t>
        </is>
      </c>
      <c r="G238" t="inlineStr">
        <is>
          <t>Anna Kowalski</t>
        </is>
      </c>
      <c r="H238" t="n">
        <v>164543.83</v>
      </c>
      <c r="I238" t="inlineStr">
        <is>
          <t>EUR</t>
        </is>
      </c>
    </row>
    <row r="239">
      <c r="A239" t="inlineStr">
        <is>
          <t>BK10366</t>
        </is>
      </c>
      <c r="B239" s="3" t="inlineStr">
        <is>
          <t>04/08/2024</t>
        </is>
      </c>
      <c r="C239" t="inlineStr">
        <is>
          <t>Customer 074</t>
        </is>
      </c>
      <c r="D239" t="inlineStr">
        <is>
          <t>EAST</t>
        </is>
      </c>
      <c r="E239" t="inlineStr">
        <is>
          <t>AnalyticsAddon</t>
        </is>
      </c>
      <c r="F239" t="inlineStr">
        <is>
          <t>New License</t>
        </is>
      </c>
      <c r="G239" t="inlineStr">
        <is>
          <t>Tom Becker</t>
        </is>
      </c>
      <c r="H239" t="n">
        <v>66866.72</v>
      </c>
      <c r="I239" t="inlineStr">
        <is>
          <t>EUR</t>
        </is>
      </c>
    </row>
    <row r="240">
      <c r="A240" t="inlineStr">
        <is>
          <t>BK10112</t>
        </is>
      </c>
      <c r="B240" s="4" t="n">
        <v>45432</v>
      </c>
      <c r="C240" t="inlineStr">
        <is>
          <t>Customer 040</t>
        </is>
      </c>
      <c r="D240" t="inlineStr">
        <is>
          <t>EAST</t>
        </is>
      </c>
      <c r="E240" t="inlineStr">
        <is>
          <t>CorePlatform</t>
        </is>
      </c>
      <c r="F240" t="inlineStr">
        <is>
          <t>Support</t>
        </is>
      </c>
      <c r="G240" t="inlineStr">
        <is>
          <t>John Smith</t>
        </is>
      </c>
      <c r="H240" t="n">
        <v>132627.68</v>
      </c>
      <c r="I240" t="inlineStr">
        <is>
          <t>USD</t>
        </is>
      </c>
    </row>
    <row r="241">
      <c r="A241" t="inlineStr">
        <is>
          <t>BK10228</t>
        </is>
      </c>
      <c r="B241" s="4" t="n">
        <v>45594</v>
      </c>
      <c r="C241" t="inlineStr">
        <is>
          <t>Customer 029</t>
        </is>
      </c>
      <c r="D241" t="inlineStr">
        <is>
          <t>Central</t>
        </is>
      </c>
      <c r="E241" t="inlineStr">
        <is>
          <t>DataConnect</t>
        </is>
      </c>
      <c r="F241" t="inlineStr">
        <is>
          <t>Renewal</t>
        </is>
      </c>
      <c r="G241" t="inlineStr">
        <is>
          <t>Wei Chen</t>
        </is>
      </c>
      <c r="H241" t="n">
        <v>83531.23</v>
      </c>
      <c r="I241" t="inlineStr">
        <is>
          <t>BRL</t>
        </is>
      </c>
    </row>
    <row r="242">
      <c r="A242" t="inlineStr">
        <is>
          <t>BK10091</t>
        </is>
      </c>
      <c r="B242" s="3" t="inlineStr">
        <is>
          <t>02/07/2024</t>
        </is>
      </c>
      <c r="C242" t="inlineStr">
        <is>
          <t>Customer 041</t>
        </is>
      </c>
      <c r="D242" t="inlineStr">
        <is>
          <t>SOUTH</t>
        </is>
      </c>
      <c r="E242" t="inlineStr">
        <is>
          <t>SecuritySuite</t>
        </is>
      </c>
      <c r="F242" t="inlineStr">
        <is>
          <t>New License</t>
        </is>
      </c>
      <c r="G242" t="inlineStr">
        <is>
          <t>Priya Sharma</t>
        </is>
      </c>
      <c r="H242" t="n">
        <v>174722.7</v>
      </c>
      <c r="I242" t="inlineStr">
        <is>
          <t>EUR</t>
        </is>
      </c>
    </row>
    <row r="243">
      <c r="A243" t="inlineStr">
        <is>
          <t>BK10343</t>
        </is>
      </c>
      <c r="B243" s="4" t="n">
        <v>45378</v>
      </c>
      <c r="C243" t="inlineStr">
        <is>
          <t>Customer 003</t>
        </is>
      </c>
      <c r="D243" t="inlineStr">
        <is>
          <t>Central</t>
        </is>
      </c>
      <c r="E243" t="inlineStr">
        <is>
          <t>AnalyticsAddon</t>
        </is>
      </c>
      <c r="F243" t="inlineStr">
        <is>
          <t>Services</t>
        </is>
      </c>
      <c r="G243" t="inlineStr">
        <is>
          <t>Wei Chen</t>
        </is>
      </c>
      <c r="H243" t="n">
        <v>146245.86</v>
      </c>
      <c r="I243" t="inlineStr">
        <is>
          <t>USD</t>
        </is>
      </c>
    </row>
    <row r="244">
      <c r="A244" t="inlineStr">
        <is>
          <t>BK10043</t>
        </is>
      </c>
      <c r="B244" s="4" t="n">
        <v>45631</v>
      </c>
      <c r="C244" t="inlineStr">
        <is>
          <t>Customer 113</t>
        </is>
      </c>
      <c r="D244" t="inlineStr">
        <is>
          <t>east</t>
        </is>
      </c>
      <c r="E244" t="inlineStr">
        <is>
          <t>AnalyticsAddon</t>
        </is>
      </c>
      <c r="F244" t="inlineStr">
        <is>
          <t>Support</t>
        </is>
      </c>
      <c r="G244" t="inlineStr">
        <is>
          <t>John Smith</t>
        </is>
      </c>
      <c r="H244" t="n">
        <v>9771.52</v>
      </c>
      <c r="I244" t="inlineStr">
        <is>
          <t>EUR</t>
        </is>
      </c>
    </row>
    <row r="245">
      <c r="A245" t="inlineStr">
        <is>
          <t>BK10165</t>
        </is>
      </c>
      <c r="B245" s="4" t="n">
        <v>45419</v>
      </c>
      <c r="C245" t="inlineStr">
        <is>
          <t>Customer 098</t>
        </is>
      </c>
      <c r="D245" t="inlineStr">
        <is>
          <t>Central</t>
        </is>
      </c>
      <c r="E245" t="inlineStr">
        <is>
          <t>SecuritySuite</t>
        </is>
      </c>
      <c r="F245" t="inlineStr">
        <is>
          <t>Services</t>
        </is>
      </c>
      <c r="G245" t="inlineStr">
        <is>
          <t>Wei Chen</t>
        </is>
      </c>
      <c r="H245" t="n">
        <v>163239.2</v>
      </c>
      <c r="I245" t="inlineStr">
        <is>
          <t>USD</t>
        </is>
      </c>
    </row>
    <row r="246">
      <c r="A246" t="inlineStr">
        <is>
          <t>BK10279</t>
        </is>
      </c>
      <c r="B246" s="3" t="inlineStr">
        <is>
          <t>03/09/2025</t>
        </is>
      </c>
      <c r="C246" t="inlineStr">
        <is>
          <t>Customer 058</t>
        </is>
      </c>
      <c r="D246" t="inlineStr">
        <is>
          <t>south</t>
        </is>
      </c>
      <c r="E246" t="inlineStr">
        <is>
          <t>DataConnect</t>
        </is>
      </c>
      <c r="F246" t="inlineStr">
        <is>
          <t>Services</t>
        </is>
      </c>
      <c r="G246" t="inlineStr">
        <is>
          <t>Priya Sharma</t>
        </is>
      </c>
      <c r="H246" t="n">
        <v>97583.03</v>
      </c>
      <c r="I246" t="inlineStr">
        <is>
          <t>CAD</t>
        </is>
      </c>
    </row>
    <row r="247">
      <c r="A247" t="inlineStr">
        <is>
          <t>BK10035</t>
        </is>
      </c>
      <c r="B247" s="4" t="n">
        <v>45809</v>
      </c>
      <c r="C247" t="inlineStr">
        <is>
          <t>Customer 116</t>
        </is>
      </c>
      <c r="D247" t="inlineStr">
        <is>
          <t>South</t>
        </is>
      </c>
      <c r="E247" t="inlineStr">
        <is>
          <t>CorePlatform</t>
        </is>
      </c>
      <c r="F247" t="inlineStr">
        <is>
          <t>Services</t>
        </is>
      </c>
      <c r="G247" t="inlineStr">
        <is>
          <t>Anna Kowalski</t>
        </is>
      </c>
      <c r="H247" t="n">
        <v>149794.61</v>
      </c>
      <c r="I247" t="inlineStr">
        <is>
          <t>USD</t>
        </is>
      </c>
    </row>
    <row r="248">
      <c r="A248" t="inlineStr">
        <is>
          <t>BK10218</t>
        </is>
      </c>
      <c r="B248" s="4" t="n">
        <v>45523</v>
      </c>
      <c r="C248" t="inlineStr">
        <is>
          <t>Customer 013</t>
        </is>
      </c>
      <c r="D248" t="inlineStr">
        <is>
          <t xml:space="preserve">west </t>
        </is>
      </c>
      <c r="E248" t="inlineStr">
        <is>
          <t>SecuritySuite</t>
        </is>
      </c>
      <c r="F248" t="inlineStr">
        <is>
          <t>Services</t>
        </is>
      </c>
      <c r="G248" t="inlineStr">
        <is>
          <t>Maria Garcia</t>
        </is>
      </c>
      <c r="H248" t="n">
        <v>20796.45</v>
      </c>
      <c r="I248" t="inlineStr">
        <is>
          <t>INR</t>
        </is>
      </c>
    </row>
    <row r="249">
      <c r="A249" t="inlineStr">
        <is>
          <t>BK10372</t>
        </is>
      </c>
      <c r="B249" s="3" t="inlineStr">
        <is>
          <t>03/04/2025</t>
        </is>
      </c>
      <c r="C249" t="inlineStr">
        <is>
          <t>Customer 061</t>
        </is>
      </c>
      <c r="D249" t="inlineStr">
        <is>
          <t>SOUTH</t>
        </is>
      </c>
      <c r="E249" t="inlineStr">
        <is>
          <t>CorePlatform</t>
        </is>
      </c>
      <c r="F249" t="inlineStr">
        <is>
          <t>Services</t>
        </is>
      </c>
      <c r="G249" t="inlineStr">
        <is>
          <t>Priya Sharma</t>
        </is>
      </c>
      <c r="H249" t="n">
        <v>162791.56</v>
      </c>
      <c r="I249" t="inlineStr">
        <is>
          <t>GBP</t>
        </is>
      </c>
    </row>
    <row r="250">
      <c r="A250" t="inlineStr">
        <is>
          <t>BK10336</t>
        </is>
      </c>
      <c r="B250" s="4" t="n">
        <v>45695</v>
      </c>
      <c r="C250" t="inlineStr">
        <is>
          <t>Customer 056</t>
        </is>
      </c>
      <c r="D250" t="inlineStr">
        <is>
          <t xml:space="preserve">East </t>
        </is>
      </c>
      <c r="E250" t="inlineStr">
        <is>
          <t>AnalyticsAddon</t>
        </is>
      </c>
      <c r="F250" t="inlineStr">
        <is>
          <t>Support</t>
        </is>
      </c>
      <c r="G250" t="inlineStr">
        <is>
          <t>John Smith</t>
        </is>
      </c>
      <c r="H250" t="n">
        <v>49195.4</v>
      </c>
      <c r="I250" t="inlineStr">
        <is>
          <t>USD</t>
        </is>
      </c>
    </row>
    <row r="251">
      <c r="A251" t="inlineStr">
        <is>
          <t>BK10316</t>
        </is>
      </c>
      <c r="B251" s="4" t="n">
        <v>45537</v>
      </c>
      <c r="C251" t="inlineStr">
        <is>
          <t>Customer 015</t>
        </is>
      </c>
      <c r="D251" t="inlineStr">
        <is>
          <t>South</t>
        </is>
      </c>
      <c r="E251" t="inlineStr">
        <is>
          <t>DataConnect</t>
        </is>
      </c>
      <c r="F251" t="inlineStr">
        <is>
          <t>New License</t>
        </is>
      </c>
      <c r="G251" t="inlineStr">
        <is>
          <t>Anna Kowalski</t>
        </is>
      </c>
      <c r="H251" t="n">
        <v>96506.71000000001</v>
      </c>
      <c r="I251" t="inlineStr">
        <is>
          <t>BRL</t>
        </is>
      </c>
    </row>
    <row r="252">
      <c r="A252" t="inlineStr">
        <is>
          <t>BK10315</t>
        </is>
      </c>
      <c r="B252" s="3" t="inlineStr">
        <is>
          <t>2024-10-18</t>
        </is>
      </c>
      <c r="C252" t="inlineStr">
        <is>
          <t>Customer 027</t>
        </is>
      </c>
      <c r="D252" t="inlineStr">
        <is>
          <t xml:space="preserve">East </t>
        </is>
      </c>
      <c r="E252" t="inlineStr">
        <is>
          <t>DataConnect</t>
        </is>
      </c>
      <c r="F252" t="inlineStr">
        <is>
          <t>Support</t>
        </is>
      </c>
      <c r="G252" t="inlineStr">
        <is>
          <t>Tom Becker</t>
        </is>
      </c>
      <c r="H252" t="n">
        <v>117372.05</v>
      </c>
      <c r="I252" t="inlineStr">
        <is>
          <t>INR</t>
        </is>
      </c>
    </row>
    <row r="253">
      <c r="A253" t="inlineStr">
        <is>
          <t>BK10217</t>
        </is>
      </c>
      <c r="B253" s="3" t="inlineStr">
        <is>
          <t>2024-10-05</t>
        </is>
      </c>
      <c r="C253" t="inlineStr">
        <is>
          <t>Customer 079</t>
        </is>
      </c>
      <c r="D253" t="inlineStr">
        <is>
          <t>West</t>
        </is>
      </c>
      <c r="E253" t="inlineStr">
        <is>
          <t>AnalyticsAddon</t>
        </is>
      </c>
      <c r="F253" t="inlineStr">
        <is>
          <t>Renewal</t>
        </is>
      </c>
      <c r="G253" t="inlineStr">
        <is>
          <t>Maria Garcia</t>
        </is>
      </c>
      <c r="H253" t="n">
        <v>11985.48</v>
      </c>
      <c r="I253" t="inlineStr">
        <is>
          <t>CAD</t>
        </is>
      </c>
    </row>
    <row r="254">
      <c r="A254" t="inlineStr">
        <is>
          <t>BK10325</t>
        </is>
      </c>
      <c r="B254" s="4" t="n">
        <v>45370</v>
      </c>
      <c r="C254" t="inlineStr">
        <is>
          <t>Customer 066</t>
        </is>
      </c>
      <c r="D254" t="inlineStr">
        <is>
          <t>SOUTH</t>
        </is>
      </c>
      <c r="E254" t="inlineStr">
        <is>
          <t>CorePlatform</t>
        </is>
      </c>
      <c r="F254" t="inlineStr">
        <is>
          <t>Services</t>
        </is>
      </c>
      <c r="G254" t="inlineStr">
        <is>
          <t>Anna Kowalski</t>
        </is>
      </c>
      <c r="H254" t="n">
        <v>155106.68</v>
      </c>
      <c r="I254" t="inlineStr">
        <is>
          <t>USD</t>
        </is>
      </c>
    </row>
    <row r="255">
      <c r="A255" t="inlineStr">
        <is>
          <t>BK10029</t>
        </is>
      </c>
      <c r="B255" s="3" t="inlineStr">
        <is>
          <t>02/10/2024</t>
        </is>
      </c>
      <c r="C255" t="inlineStr">
        <is>
          <t>Customer 085</t>
        </is>
      </c>
      <c r="D255" t="inlineStr">
        <is>
          <t>east</t>
        </is>
      </c>
      <c r="E255" t="inlineStr">
        <is>
          <t>SecuritySuite</t>
        </is>
      </c>
      <c r="F255" t="inlineStr">
        <is>
          <t>Renewal</t>
        </is>
      </c>
      <c r="G255" t="inlineStr">
        <is>
          <t>Tom Becker</t>
        </is>
      </c>
      <c r="H255" t="n">
        <v>121541.5</v>
      </c>
      <c r="I255" t="inlineStr">
        <is>
          <t>USD</t>
        </is>
      </c>
    </row>
    <row r="256">
      <c r="A256" t="inlineStr">
        <is>
          <t>BK10189</t>
        </is>
      </c>
      <c r="B256" s="3" t="inlineStr">
        <is>
          <t>01/12/2025</t>
        </is>
      </c>
      <c r="C256" t="inlineStr">
        <is>
          <t>Customer 079</t>
        </is>
      </c>
      <c r="D256" t="inlineStr">
        <is>
          <t>South</t>
        </is>
      </c>
      <c r="E256" t="inlineStr">
        <is>
          <t>CorePlatform</t>
        </is>
      </c>
      <c r="F256" t="inlineStr">
        <is>
          <t>Support</t>
        </is>
      </c>
      <c r="G256" t="inlineStr">
        <is>
          <t>Priya Sharma</t>
        </is>
      </c>
      <c r="H256" t="n">
        <v>73474.32000000001</v>
      </c>
      <c r="I256" t="inlineStr">
        <is>
          <t>GBP</t>
        </is>
      </c>
    </row>
    <row r="257">
      <c r="A257" t="inlineStr">
        <is>
          <t>BK10109</t>
        </is>
      </c>
      <c r="B257" s="3" t="inlineStr">
        <is>
          <t>09/13/2024</t>
        </is>
      </c>
      <c r="C257" t="inlineStr">
        <is>
          <t>Customer 026</t>
        </is>
      </c>
      <c r="D257" t="inlineStr">
        <is>
          <t>SOUTH</t>
        </is>
      </c>
      <c r="E257" t="inlineStr">
        <is>
          <t>DataConnect</t>
        </is>
      </c>
      <c r="F257" t="inlineStr">
        <is>
          <t>New License</t>
        </is>
      </c>
      <c r="G257" t="inlineStr">
        <is>
          <t>Anna Kowalski</t>
        </is>
      </c>
      <c r="H257" t="n">
        <v>44985.41</v>
      </c>
      <c r="I257" t="inlineStr">
        <is>
          <t>EUR</t>
        </is>
      </c>
    </row>
    <row r="258">
      <c r="A258" t="inlineStr">
        <is>
          <t>BK10160</t>
        </is>
      </c>
      <c r="B258" s="3" t="inlineStr">
        <is>
          <t>2025-06-03</t>
        </is>
      </c>
      <c r="C258" t="inlineStr">
        <is>
          <t>Customer 113</t>
        </is>
      </c>
      <c r="D258" t="inlineStr">
        <is>
          <t xml:space="preserve">East </t>
        </is>
      </c>
      <c r="E258" t="inlineStr">
        <is>
          <t>DataConnect</t>
        </is>
      </c>
      <c r="F258" t="inlineStr">
        <is>
          <t>Renewal</t>
        </is>
      </c>
      <c r="G258" t="inlineStr">
        <is>
          <t>Tom Becker</t>
        </is>
      </c>
      <c r="H258" t="n">
        <v>31717.76</v>
      </c>
      <c r="I258" t="inlineStr">
        <is>
          <t>INR</t>
        </is>
      </c>
    </row>
    <row r="259">
      <c r="A259" t="inlineStr">
        <is>
          <t>BK10184</t>
        </is>
      </c>
      <c r="B259" s="3" t="inlineStr">
        <is>
          <t>2024-03-19</t>
        </is>
      </c>
      <c r="C259" t="inlineStr">
        <is>
          <t>Customer 051</t>
        </is>
      </c>
      <c r="D259" t="inlineStr">
        <is>
          <t xml:space="preserve">west </t>
        </is>
      </c>
      <c r="E259" t="inlineStr">
        <is>
          <t>SecuritySuite</t>
        </is>
      </c>
      <c r="F259" t="inlineStr">
        <is>
          <t>Renewal</t>
        </is>
      </c>
      <c r="G259" t="inlineStr">
        <is>
          <t>Sara Cohen</t>
        </is>
      </c>
      <c r="H259" t="n">
        <v>173012.05</v>
      </c>
      <c r="I259" t="inlineStr">
        <is>
          <t>USD</t>
        </is>
      </c>
    </row>
    <row r="260">
      <c r="A260" t="inlineStr">
        <is>
          <t>BK10368</t>
        </is>
      </c>
      <c r="B260" s="3" t="inlineStr">
        <is>
          <t>04/29/2025</t>
        </is>
      </c>
      <c r="C260" t="inlineStr">
        <is>
          <t>Customer 101</t>
        </is>
      </c>
      <c r="D260" t="inlineStr">
        <is>
          <t>EAST</t>
        </is>
      </c>
      <c r="E260" t="inlineStr">
        <is>
          <t>DataConnect</t>
        </is>
      </c>
      <c r="F260" t="inlineStr">
        <is>
          <t>Services</t>
        </is>
      </c>
      <c r="G260" t="inlineStr">
        <is>
          <t>Tom Becker</t>
        </is>
      </c>
      <c r="H260" t="n">
        <v>161393.31</v>
      </c>
      <c r="I260" t="inlineStr">
        <is>
          <t>USD</t>
        </is>
      </c>
    </row>
    <row r="261">
      <c r="A261" t="inlineStr">
        <is>
          <t>BK10284</t>
        </is>
      </c>
      <c r="B261" s="3" t="inlineStr">
        <is>
          <t>2024-07-30</t>
        </is>
      </c>
      <c r="C261" t="inlineStr">
        <is>
          <t>Customer 061</t>
        </is>
      </c>
      <c r="D261" t="inlineStr">
        <is>
          <t>South</t>
        </is>
      </c>
      <c r="E261" t="inlineStr">
        <is>
          <t>DataConnect</t>
        </is>
      </c>
      <c r="F261" t="inlineStr">
        <is>
          <t>Services</t>
        </is>
      </c>
      <c r="G261" t="inlineStr">
        <is>
          <t>Anna Kowalski</t>
        </is>
      </c>
      <c r="H261" t="n">
        <v>59446.98</v>
      </c>
      <c r="I261" t="inlineStr">
        <is>
          <t>USD</t>
        </is>
      </c>
    </row>
    <row r="262">
      <c r="A262" t="inlineStr">
        <is>
          <t>BK10089</t>
        </is>
      </c>
      <c r="B262" s="3" t="inlineStr">
        <is>
          <t>10/11/2024</t>
        </is>
      </c>
      <c r="C262" t="inlineStr">
        <is>
          <t>Customer 082</t>
        </is>
      </c>
      <c r="D262" t="inlineStr">
        <is>
          <t xml:space="preserve">west </t>
        </is>
      </c>
      <c r="E262" t="inlineStr">
        <is>
          <t>CorePlatform</t>
        </is>
      </c>
      <c r="F262" t="inlineStr">
        <is>
          <t>Services</t>
        </is>
      </c>
      <c r="G262" t="inlineStr">
        <is>
          <t>Sara Cohen</t>
        </is>
      </c>
      <c r="H262" t="n">
        <v>64589.11</v>
      </c>
      <c r="I262" t="inlineStr">
        <is>
          <t>USD</t>
        </is>
      </c>
    </row>
    <row r="263">
      <c r="A263" t="inlineStr">
        <is>
          <t>BK10351</t>
        </is>
      </c>
      <c r="B263" s="3" t="inlineStr">
        <is>
          <t>09/29/2024</t>
        </is>
      </c>
      <c r="C263" t="inlineStr">
        <is>
          <t>Customer 074</t>
        </is>
      </c>
      <c r="D263" t="inlineStr">
        <is>
          <t>EAST</t>
        </is>
      </c>
      <c r="E263" t="inlineStr">
        <is>
          <t>SecuritySuite</t>
        </is>
      </c>
      <c r="F263" t="inlineStr">
        <is>
          <t>Renewal</t>
        </is>
      </c>
      <c r="G263" t="inlineStr">
        <is>
          <t>John Smith</t>
        </is>
      </c>
      <c r="H263" t="n">
        <v>34169.77</v>
      </c>
      <c r="I263" t="inlineStr">
        <is>
          <t>EUR</t>
        </is>
      </c>
    </row>
    <row r="264">
      <c r="A264" t="inlineStr">
        <is>
          <t>BK10025</t>
        </is>
      </c>
      <c r="B264" s="4" t="n">
        <v>45702</v>
      </c>
      <c r="C264" t="inlineStr">
        <is>
          <t>Customer 049</t>
        </is>
      </c>
      <c r="D264" t="inlineStr">
        <is>
          <t>East</t>
        </is>
      </c>
      <c r="E264" t="inlineStr">
        <is>
          <t>DataConnect</t>
        </is>
      </c>
      <c r="F264" t="inlineStr">
        <is>
          <t>Support</t>
        </is>
      </c>
      <c r="G264" t="inlineStr">
        <is>
          <t>John Smith</t>
        </is>
      </c>
      <c r="H264" t="n">
        <v>166993.7</v>
      </c>
      <c r="I264" t="inlineStr">
        <is>
          <t>INR</t>
        </is>
      </c>
    </row>
    <row r="265">
      <c r="A265" t="inlineStr">
        <is>
          <t>BK10237</t>
        </is>
      </c>
      <c r="B265" s="4" t="n">
        <v>45694</v>
      </c>
      <c r="C265" t="inlineStr">
        <is>
          <t>Customer 107</t>
        </is>
      </c>
      <c r="D265" t="inlineStr">
        <is>
          <t>West</t>
        </is>
      </c>
      <c r="E265" t="inlineStr">
        <is>
          <t>CorePlatform</t>
        </is>
      </c>
      <c r="F265" t="inlineStr">
        <is>
          <t>Support</t>
        </is>
      </c>
      <c r="G265" t="inlineStr">
        <is>
          <t>Maria Garcia</t>
        </is>
      </c>
      <c r="H265" t="n">
        <v>84951.69</v>
      </c>
      <c r="I265" t="inlineStr">
        <is>
          <t>GBP</t>
        </is>
      </c>
    </row>
    <row r="266">
      <c r="A266" t="inlineStr">
        <is>
          <t>BK10135</t>
        </is>
      </c>
      <c r="B266" s="4" t="n">
        <v>45785</v>
      </c>
      <c r="C266" t="inlineStr">
        <is>
          <t>Customer 045</t>
        </is>
      </c>
      <c r="D266" t="inlineStr">
        <is>
          <t>West</t>
        </is>
      </c>
      <c r="E266" t="inlineStr">
        <is>
          <t>SecuritySuite</t>
        </is>
      </c>
      <c r="F266" t="inlineStr">
        <is>
          <t>New License</t>
        </is>
      </c>
      <c r="G266" t="inlineStr">
        <is>
          <t>Maria Garcia</t>
        </is>
      </c>
      <c r="H266" t="n">
        <v>137981.2</v>
      </c>
      <c r="I266" t="inlineStr">
        <is>
          <t>EUR</t>
        </is>
      </c>
    </row>
    <row r="267">
      <c r="A267" t="inlineStr">
        <is>
          <t>BK10286</t>
        </is>
      </c>
      <c r="B267" s="3" t="inlineStr">
        <is>
          <t>2024-12-04</t>
        </is>
      </c>
      <c r="C267" t="inlineStr">
        <is>
          <t>Customer 030</t>
        </is>
      </c>
      <c r="D267" t="inlineStr">
        <is>
          <t>SOUTH</t>
        </is>
      </c>
      <c r="E267" t="inlineStr">
        <is>
          <t>AnalyticsAddon</t>
        </is>
      </c>
      <c r="F267" t="inlineStr">
        <is>
          <t>Renewal</t>
        </is>
      </c>
      <c r="G267" t="inlineStr">
        <is>
          <t>Anna Kowalski</t>
        </is>
      </c>
      <c r="H267" t="n">
        <v>116364.76</v>
      </c>
      <c r="I267" t="inlineStr">
        <is>
          <t>EUR</t>
        </is>
      </c>
    </row>
    <row r="268">
      <c r="A268" t="inlineStr">
        <is>
          <t>BK10354</t>
        </is>
      </c>
      <c r="B268" s="3" t="inlineStr">
        <is>
          <t>07/25/2024</t>
        </is>
      </c>
      <c r="C268" t="inlineStr">
        <is>
          <t>Customer 092</t>
        </is>
      </c>
      <c r="D268" t="inlineStr">
        <is>
          <t>West</t>
        </is>
      </c>
      <c r="E268" t="inlineStr">
        <is>
          <t>SecuritySuite</t>
        </is>
      </c>
      <c r="F268" t="inlineStr">
        <is>
          <t>New License</t>
        </is>
      </c>
      <c r="G268" t="inlineStr">
        <is>
          <t>Sara Cohen</t>
        </is>
      </c>
      <c r="H268" t="n">
        <v>6878.58</v>
      </c>
      <c r="I268" t="inlineStr">
        <is>
          <t>EUR</t>
        </is>
      </c>
    </row>
    <row r="269">
      <c r="A269" t="inlineStr">
        <is>
          <t>BK10118</t>
        </is>
      </c>
      <c r="B269" s="3" t="inlineStr">
        <is>
          <t>02/08/2024</t>
        </is>
      </c>
      <c r="C269" t="inlineStr">
        <is>
          <t>Customer 015</t>
        </is>
      </c>
      <c r="D269" t="inlineStr">
        <is>
          <t>Central</t>
        </is>
      </c>
      <c r="E269" t="inlineStr">
        <is>
          <t>AnalyticsAddon</t>
        </is>
      </c>
      <c r="F269" t="inlineStr">
        <is>
          <t>Renewal</t>
        </is>
      </c>
      <c r="G269" t="inlineStr">
        <is>
          <t>Luis Ortega</t>
        </is>
      </c>
      <c r="H269" t="n">
        <v>71790.31</v>
      </c>
      <c r="I269" t="inlineStr">
        <is>
          <t>USD</t>
        </is>
      </c>
    </row>
    <row r="270">
      <c r="A270" t="inlineStr">
        <is>
          <t>BK10131</t>
        </is>
      </c>
      <c r="B270" s="4" t="n">
        <v>45389</v>
      </c>
      <c r="C270" t="inlineStr">
        <is>
          <t>Customer 041</t>
        </is>
      </c>
      <c r="D270" t="inlineStr">
        <is>
          <t xml:space="preserve">Central </t>
        </is>
      </c>
      <c r="E270" t="inlineStr">
        <is>
          <t>SecuritySuite</t>
        </is>
      </c>
      <c r="F270" t="inlineStr">
        <is>
          <t>Support</t>
        </is>
      </c>
      <c r="G270" t="inlineStr">
        <is>
          <t>Luis Ortega</t>
        </is>
      </c>
      <c r="H270" t="n">
        <v>171785.88</v>
      </c>
      <c r="I270" t="inlineStr">
        <is>
          <t>GBP</t>
        </is>
      </c>
    </row>
    <row r="271">
      <c r="A271" t="inlineStr">
        <is>
          <t>BK10352</t>
        </is>
      </c>
      <c r="B271" s="4" t="n">
        <v>45659</v>
      </c>
      <c r="C271" t="inlineStr">
        <is>
          <t>Customer 073</t>
        </is>
      </c>
      <c r="D271" t="inlineStr">
        <is>
          <t xml:space="preserve">East </t>
        </is>
      </c>
      <c r="E271" t="inlineStr">
        <is>
          <t>AnalyticsAddon</t>
        </is>
      </c>
      <c r="F271" t="inlineStr">
        <is>
          <t>Services</t>
        </is>
      </c>
      <c r="G271" t="inlineStr">
        <is>
          <t>Tom Becker</t>
        </is>
      </c>
      <c r="H271" t="n">
        <v>98956.05</v>
      </c>
      <c r="I271" t="inlineStr">
        <is>
          <t>USD</t>
        </is>
      </c>
    </row>
    <row r="272">
      <c r="A272" t="inlineStr">
        <is>
          <t>BK10038</t>
        </is>
      </c>
      <c r="B272" s="3" t="inlineStr">
        <is>
          <t>2024-02-10</t>
        </is>
      </c>
      <c r="C272" t="inlineStr">
        <is>
          <t>Customer 088</t>
        </is>
      </c>
      <c r="D272" t="inlineStr">
        <is>
          <t>Central</t>
        </is>
      </c>
      <c r="E272" t="inlineStr">
        <is>
          <t>CorePlatform</t>
        </is>
      </c>
      <c r="F272" t="inlineStr">
        <is>
          <t>Support</t>
        </is>
      </c>
      <c r="G272" t="inlineStr">
        <is>
          <t>Wei Chen</t>
        </is>
      </c>
      <c r="H272" t="n">
        <v>141080.57</v>
      </c>
      <c r="I272" t="inlineStr">
        <is>
          <t>CAD</t>
        </is>
      </c>
    </row>
    <row r="273">
      <c r="A273" t="inlineStr">
        <is>
          <t>BK10299</t>
        </is>
      </c>
      <c r="B273" s="3" t="inlineStr">
        <is>
          <t>07/30/2024</t>
        </is>
      </c>
      <c r="C273" t="inlineStr">
        <is>
          <t>Customer 069</t>
        </is>
      </c>
      <c r="D273" t="inlineStr">
        <is>
          <t>east</t>
        </is>
      </c>
      <c r="E273" t="inlineStr">
        <is>
          <t>AnalyticsAddon</t>
        </is>
      </c>
      <c r="F273" t="inlineStr">
        <is>
          <t>Support</t>
        </is>
      </c>
      <c r="G273" t="inlineStr">
        <is>
          <t>Tom Becker</t>
        </is>
      </c>
      <c r="H273" t="n">
        <v>176283.03</v>
      </c>
      <c r="I273" t="inlineStr">
        <is>
          <t>USD</t>
        </is>
      </c>
    </row>
    <row r="274">
      <c r="A274" t="inlineStr">
        <is>
          <t>BK10046</t>
        </is>
      </c>
      <c r="B274" s="3" t="inlineStr">
        <is>
          <t>2024-12-04</t>
        </is>
      </c>
      <c r="C274" t="inlineStr">
        <is>
          <t>Customer 093</t>
        </is>
      </c>
      <c r="D274" t="inlineStr">
        <is>
          <t>central</t>
        </is>
      </c>
      <c r="E274" t="inlineStr">
        <is>
          <t>SecuritySuite</t>
        </is>
      </c>
      <c r="F274" t="inlineStr">
        <is>
          <t>Services</t>
        </is>
      </c>
      <c r="G274" t="inlineStr">
        <is>
          <t>Wei Chen</t>
        </is>
      </c>
      <c r="H274" t="n">
        <v>60734.37</v>
      </c>
      <c r="I274" t="inlineStr">
        <is>
          <t>GBP</t>
        </is>
      </c>
    </row>
    <row r="275">
      <c r="A275" t="inlineStr">
        <is>
          <t>BK10076</t>
        </is>
      </c>
      <c r="B275" s="4" t="n">
        <v>45481</v>
      </c>
      <c r="C275" t="inlineStr">
        <is>
          <t>Customer 095</t>
        </is>
      </c>
      <c r="D275" t="inlineStr">
        <is>
          <t xml:space="preserve">west </t>
        </is>
      </c>
      <c r="E275" t="inlineStr">
        <is>
          <t>SecuritySuite</t>
        </is>
      </c>
      <c r="F275" t="inlineStr">
        <is>
          <t>Support</t>
        </is>
      </c>
      <c r="G275" t="inlineStr">
        <is>
          <t>Maria Garcia</t>
        </is>
      </c>
      <c r="H275" t="n">
        <v>176550.38</v>
      </c>
      <c r="I275" t="inlineStr">
        <is>
          <t>INR</t>
        </is>
      </c>
    </row>
    <row r="276">
      <c r="A276" t="inlineStr">
        <is>
          <t>BK10252</t>
        </is>
      </c>
      <c r="B276" s="3" t="inlineStr">
        <is>
          <t>03/03/2025</t>
        </is>
      </c>
      <c r="C276" t="inlineStr">
        <is>
          <t>Customer 026</t>
        </is>
      </c>
      <c r="D276" t="inlineStr">
        <is>
          <t>central</t>
        </is>
      </c>
      <c r="E276" t="inlineStr">
        <is>
          <t>AnalyticsAddon</t>
        </is>
      </c>
      <c r="F276" t="inlineStr">
        <is>
          <t>Services</t>
        </is>
      </c>
      <c r="G276" t="inlineStr">
        <is>
          <t>Wei Chen</t>
        </is>
      </c>
      <c r="H276" t="n">
        <v>103852.74</v>
      </c>
      <c r="I276" t="inlineStr">
        <is>
          <t>USD</t>
        </is>
      </c>
    </row>
    <row r="277">
      <c r="A277" t="inlineStr">
        <is>
          <t>BK10056</t>
        </is>
      </c>
      <c r="B277" s="4" t="n">
        <v>45374</v>
      </c>
      <c r="C277" t="inlineStr">
        <is>
          <t>Customer 030</t>
        </is>
      </c>
      <c r="D277" t="inlineStr">
        <is>
          <t xml:space="preserve">west </t>
        </is>
      </c>
      <c r="E277" t="inlineStr">
        <is>
          <t>AnalyticsAddon</t>
        </is>
      </c>
      <c r="F277" t="inlineStr">
        <is>
          <t>Renewal</t>
        </is>
      </c>
      <c r="G277" t="inlineStr">
        <is>
          <t>Maria Garcia</t>
        </is>
      </c>
      <c r="H277" t="n">
        <v>14368.51</v>
      </c>
      <c r="I277" t="inlineStr">
        <is>
          <t>EUR</t>
        </is>
      </c>
    </row>
    <row r="278">
      <c r="A278" t="inlineStr">
        <is>
          <t>BK10394</t>
        </is>
      </c>
      <c r="B278" s="4" t="n">
        <v>45779</v>
      </c>
      <c r="C278" t="inlineStr">
        <is>
          <t>Customer 109</t>
        </is>
      </c>
      <c r="D278" t="inlineStr">
        <is>
          <t>Central</t>
        </is>
      </c>
      <c r="E278" t="inlineStr">
        <is>
          <t>AnalyticsAddon</t>
        </is>
      </c>
      <c r="F278" t="inlineStr">
        <is>
          <t>Support</t>
        </is>
      </c>
      <c r="G278" t="inlineStr">
        <is>
          <t>Luis Ortega</t>
        </is>
      </c>
      <c r="H278" t="n">
        <v>20275.74</v>
      </c>
      <c r="I278" t="inlineStr">
        <is>
          <t>USD</t>
        </is>
      </c>
    </row>
    <row r="279">
      <c r="A279" t="inlineStr">
        <is>
          <t>BK10006</t>
        </is>
      </c>
      <c r="B279" s="4" t="n">
        <v>45395</v>
      </c>
      <c r="C279" t="inlineStr">
        <is>
          <t>Customer 059</t>
        </is>
      </c>
      <c r="D279" t="inlineStr">
        <is>
          <t>south</t>
        </is>
      </c>
      <c r="E279" t="inlineStr">
        <is>
          <t>SecuritySuite</t>
        </is>
      </c>
      <c r="F279" t="inlineStr">
        <is>
          <t>Renewal</t>
        </is>
      </c>
      <c r="G279" t="inlineStr">
        <is>
          <t>Anna Kowalski</t>
        </is>
      </c>
      <c r="H279" t="n">
        <v>68522.03</v>
      </c>
      <c r="I279" t="inlineStr">
        <is>
          <t>USD</t>
        </is>
      </c>
    </row>
    <row r="280">
      <c r="A280" t="inlineStr">
        <is>
          <t>BK10001</t>
        </is>
      </c>
      <c r="B280" s="4" t="n">
        <v>45381</v>
      </c>
      <c r="C280" t="inlineStr">
        <is>
          <t>Customer 004</t>
        </is>
      </c>
      <c r="D280" t="inlineStr">
        <is>
          <t>South</t>
        </is>
      </c>
      <c r="E280" t="inlineStr">
        <is>
          <t>AnalyticsAddon</t>
        </is>
      </c>
      <c r="F280" t="inlineStr">
        <is>
          <t>Renewal</t>
        </is>
      </c>
      <c r="G280" t="inlineStr">
        <is>
          <t>Priya Sharma</t>
        </is>
      </c>
      <c r="H280" t="n">
        <v>92447.89</v>
      </c>
      <c r="I280" t="inlineStr">
        <is>
          <t>USD</t>
        </is>
      </c>
    </row>
    <row r="281">
      <c r="A281" t="inlineStr">
        <is>
          <t>BK10120</t>
        </is>
      </c>
      <c r="B281" s="3" t="inlineStr">
        <is>
          <t>2025-01-14</t>
        </is>
      </c>
      <c r="C281" t="inlineStr">
        <is>
          <t>Customer 057</t>
        </is>
      </c>
      <c r="D281" t="inlineStr">
        <is>
          <t>West</t>
        </is>
      </c>
      <c r="E281" t="inlineStr">
        <is>
          <t>SecuritySuite</t>
        </is>
      </c>
      <c r="F281" t="inlineStr">
        <is>
          <t>New License</t>
        </is>
      </c>
      <c r="G281" t="inlineStr">
        <is>
          <t>Sara Cohen</t>
        </is>
      </c>
      <c r="H281" t="n">
        <v>176624.21</v>
      </c>
      <c r="I281" t="inlineStr">
        <is>
          <t>USD</t>
        </is>
      </c>
    </row>
    <row r="282">
      <c r="A282" t="inlineStr">
        <is>
          <t>BK10169</t>
        </is>
      </c>
      <c r="B282" s="3" t="inlineStr">
        <is>
          <t>2024-01-06</t>
        </is>
      </c>
      <c r="C282" t="inlineStr">
        <is>
          <t>Customer 033</t>
        </is>
      </c>
      <c r="D282" t="inlineStr">
        <is>
          <t xml:space="preserve">East </t>
        </is>
      </c>
      <c r="E282" t="inlineStr">
        <is>
          <t>AnalyticsAddon</t>
        </is>
      </c>
      <c r="F282" t="inlineStr">
        <is>
          <t>Services</t>
        </is>
      </c>
      <c r="G282" t="inlineStr">
        <is>
          <t>John Smith</t>
        </is>
      </c>
      <c r="H282" t="n">
        <v>22680.07</v>
      </c>
      <c r="I282" t="inlineStr">
        <is>
          <t>USD</t>
        </is>
      </c>
    </row>
    <row r="283">
      <c r="A283" t="inlineStr">
        <is>
          <t>BK10246</t>
        </is>
      </c>
      <c r="B283" s="3" t="inlineStr">
        <is>
          <t>04/05/2025</t>
        </is>
      </c>
      <c r="C283" t="inlineStr">
        <is>
          <t>Customer 069</t>
        </is>
      </c>
      <c r="D283" t="inlineStr">
        <is>
          <t xml:space="preserve">Central </t>
        </is>
      </c>
      <c r="E283" t="inlineStr">
        <is>
          <t>AnalyticsAddon</t>
        </is>
      </c>
      <c r="F283" t="inlineStr">
        <is>
          <t>New License</t>
        </is>
      </c>
      <c r="G283" t="inlineStr">
        <is>
          <t>Wei Chen</t>
        </is>
      </c>
      <c r="H283" t="n">
        <v>50517.7</v>
      </c>
      <c r="I283" t="inlineStr">
        <is>
          <t>GBP</t>
        </is>
      </c>
    </row>
    <row r="284">
      <c r="A284" t="inlineStr">
        <is>
          <t>BK10106</t>
        </is>
      </c>
      <c r="B284" s="3" t="inlineStr">
        <is>
          <t>06/27/2025</t>
        </is>
      </c>
      <c r="C284" t="inlineStr">
        <is>
          <t>Customer 022</t>
        </is>
      </c>
      <c r="D284" t="inlineStr">
        <is>
          <t>South</t>
        </is>
      </c>
      <c r="E284" t="inlineStr">
        <is>
          <t>CorePlatform</t>
        </is>
      </c>
      <c r="F284" t="inlineStr">
        <is>
          <t>Services</t>
        </is>
      </c>
      <c r="G284" t="inlineStr">
        <is>
          <t>Priya Sharma</t>
        </is>
      </c>
      <c r="H284" t="n">
        <v>112688.74</v>
      </c>
      <c r="I284" t="inlineStr">
        <is>
          <t>USD</t>
        </is>
      </c>
    </row>
    <row r="285">
      <c r="A285" t="inlineStr">
        <is>
          <t>BK10294</t>
        </is>
      </c>
      <c r="B285" s="4" t="n">
        <v>45746</v>
      </c>
      <c r="C285" t="inlineStr">
        <is>
          <t>Customer 011</t>
        </is>
      </c>
      <c r="D285" t="inlineStr">
        <is>
          <t>south</t>
        </is>
      </c>
      <c r="E285" t="inlineStr">
        <is>
          <t>CorePlatform</t>
        </is>
      </c>
      <c r="F285" t="inlineStr">
        <is>
          <t>Renewal</t>
        </is>
      </c>
      <c r="G285" t="inlineStr">
        <is>
          <t>Priya Sharma</t>
        </is>
      </c>
      <c r="H285" t="n">
        <v>54699.91</v>
      </c>
      <c r="I285" t="inlineStr">
        <is>
          <t>USD</t>
        </is>
      </c>
    </row>
    <row r="286">
      <c r="A286" t="inlineStr">
        <is>
          <t>BK10313</t>
        </is>
      </c>
      <c r="B286" s="4" t="n">
        <v>45447</v>
      </c>
      <c r="C286" t="inlineStr">
        <is>
          <t>Customer 111</t>
        </is>
      </c>
      <c r="D286" t="inlineStr">
        <is>
          <t>South</t>
        </is>
      </c>
      <c r="E286" t="inlineStr">
        <is>
          <t>CorePlatform</t>
        </is>
      </c>
      <c r="F286" t="inlineStr">
        <is>
          <t>New License</t>
        </is>
      </c>
      <c r="G286" t="inlineStr">
        <is>
          <t>Anna Kowalski</t>
        </is>
      </c>
      <c r="H286" t="n">
        <v>27782.33</v>
      </c>
      <c r="I286" t="inlineStr">
        <is>
          <t>USD</t>
        </is>
      </c>
    </row>
    <row r="287">
      <c r="A287" t="inlineStr">
        <is>
          <t>BK10020</t>
        </is>
      </c>
      <c r="B287" s="3" t="inlineStr">
        <is>
          <t>05/12/2025</t>
        </is>
      </c>
      <c r="C287" t="inlineStr">
        <is>
          <t>Customer 093</t>
        </is>
      </c>
      <c r="D287" t="inlineStr">
        <is>
          <t>West</t>
        </is>
      </c>
      <c r="E287" t="inlineStr">
        <is>
          <t>DataConnect</t>
        </is>
      </c>
      <c r="F287" t="inlineStr">
        <is>
          <t>Renewal</t>
        </is>
      </c>
      <c r="G287" t="inlineStr">
        <is>
          <t>Maria Garcia</t>
        </is>
      </c>
      <c r="H287" t="n">
        <v>141877.64</v>
      </c>
      <c r="I287" t="inlineStr">
        <is>
          <t>INR</t>
        </is>
      </c>
    </row>
    <row r="288">
      <c r="A288" t="inlineStr">
        <is>
          <t>BK10082</t>
        </is>
      </c>
      <c r="B288" s="3" t="inlineStr">
        <is>
          <t>04/11/2024</t>
        </is>
      </c>
      <c r="C288" t="inlineStr">
        <is>
          <t>Customer 034</t>
        </is>
      </c>
      <c r="D288" t="inlineStr">
        <is>
          <t>West</t>
        </is>
      </c>
      <c r="E288" t="inlineStr">
        <is>
          <t>CorePlatform</t>
        </is>
      </c>
      <c r="F288" t="inlineStr">
        <is>
          <t>Renewal</t>
        </is>
      </c>
      <c r="G288" t="inlineStr">
        <is>
          <t>Maria Garcia</t>
        </is>
      </c>
      <c r="H288" t="n">
        <v>45456.14</v>
      </c>
      <c r="I288" t="inlineStr">
        <is>
          <t>EUR</t>
        </is>
      </c>
    </row>
    <row r="289">
      <c r="A289" t="inlineStr">
        <is>
          <t>BK10151</t>
        </is>
      </c>
      <c r="B289" s="3" t="inlineStr">
        <is>
          <t>2025-01-12</t>
        </is>
      </c>
      <c r="C289" t="inlineStr">
        <is>
          <t>Customer 083</t>
        </is>
      </c>
      <c r="D289" t="inlineStr">
        <is>
          <t>Central</t>
        </is>
      </c>
      <c r="E289" t="inlineStr">
        <is>
          <t>DataConnect</t>
        </is>
      </c>
      <c r="F289" t="inlineStr">
        <is>
          <t>Services</t>
        </is>
      </c>
      <c r="G289" t="inlineStr">
        <is>
          <t>Wei Chen</t>
        </is>
      </c>
      <c r="H289" t="n">
        <v>105718.31</v>
      </c>
      <c r="I289" t="inlineStr">
        <is>
          <t>BRL</t>
        </is>
      </c>
    </row>
    <row r="290">
      <c r="A290" t="inlineStr">
        <is>
          <t>BK10209</t>
        </is>
      </c>
      <c r="B290" s="4" t="n">
        <v>45525</v>
      </c>
      <c r="C290" t="inlineStr">
        <is>
          <t>Customer 022</t>
        </is>
      </c>
      <c r="D290" t="inlineStr">
        <is>
          <t>EAST</t>
        </is>
      </c>
      <c r="E290" t="inlineStr">
        <is>
          <t>AnalyticsAddon</t>
        </is>
      </c>
      <c r="F290" t="inlineStr">
        <is>
          <t>Renewal</t>
        </is>
      </c>
      <c r="G290" t="inlineStr">
        <is>
          <t>Tom Becker</t>
        </is>
      </c>
      <c r="H290" t="n">
        <v>8587.98</v>
      </c>
      <c r="I290" t="inlineStr">
        <is>
          <t>BRL</t>
        </is>
      </c>
    </row>
    <row r="291">
      <c r="A291" t="inlineStr">
        <is>
          <t>BK10345</t>
        </is>
      </c>
      <c r="B291" s="3" t="inlineStr">
        <is>
          <t>01/31/2024</t>
        </is>
      </c>
      <c r="C291" t="inlineStr">
        <is>
          <t>Customer 023</t>
        </is>
      </c>
      <c r="D291" t="inlineStr">
        <is>
          <t>SOUTH</t>
        </is>
      </c>
      <c r="E291" t="inlineStr">
        <is>
          <t>AnalyticsAddon</t>
        </is>
      </c>
      <c r="F291" t="inlineStr">
        <is>
          <t>Renewal</t>
        </is>
      </c>
      <c r="G291" t="inlineStr">
        <is>
          <t>Anna Kowalski</t>
        </is>
      </c>
      <c r="H291" t="n">
        <v>51671.77</v>
      </c>
      <c r="I291" t="inlineStr">
        <is>
          <t>EUR</t>
        </is>
      </c>
    </row>
    <row r="292">
      <c r="A292" t="inlineStr">
        <is>
          <t>BK10103</t>
        </is>
      </c>
      <c r="B292" s="3" t="inlineStr">
        <is>
          <t>2025-01-24</t>
        </is>
      </c>
      <c r="C292" t="inlineStr">
        <is>
          <t>Customer 112</t>
        </is>
      </c>
      <c r="D292" t="inlineStr">
        <is>
          <t xml:space="preserve">Central </t>
        </is>
      </c>
      <c r="E292" t="inlineStr">
        <is>
          <t>CorePlatform</t>
        </is>
      </c>
      <c r="F292" t="inlineStr">
        <is>
          <t>New License</t>
        </is>
      </c>
      <c r="G292" t="inlineStr">
        <is>
          <t>Luis Ortega</t>
        </is>
      </c>
      <c r="H292" t="n">
        <v>44554.33</v>
      </c>
      <c r="I292" t="inlineStr">
        <is>
          <t>GBP</t>
        </is>
      </c>
    </row>
    <row r="293">
      <c r="A293" t="inlineStr">
        <is>
          <t>BK10267</t>
        </is>
      </c>
      <c r="B293" s="4" t="n">
        <v>45681</v>
      </c>
      <c r="C293" t="inlineStr">
        <is>
          <t>Customer 103</t>
        </is>
      </c>
      <c r="D293" t="inlineStr">
        <is>
          <t xml:space="preserve">East </t>
        </is>
      </c>
      <c r="E293" t="inlineStr">
        <is>
          <t>CorePlatform</t>
        </is>
      </c>
      <c r="F293" t="inlineStr">
        <is>
          <t>New License</t>
        </is>
      </c>
      <c r="G293" t="inlineStr">
        <is>
          <t>Tom Becker</t>
        </is>
      </c>
      <c r="H293" t="n">
        <v>50431.05</v>
      </c>
      <c r="I293" t="inlineStr">
        <is>
          <t>USD</t>
        </is>
      </c>
    </row>
    <row r="294">
      <c r="A294" t="inlineStr">
        <is>
          <t>BK10134</t>
        </is>
      </c>
      <c r="B294" s="3" t="inlineStr">
        <is>
          <t>03/09/2025</t>
        </is>
      </c>
      <c r="C294" t="inlineStr">
        <is>
          <t>Customer 077</t>
        </is>
      </c>
      <c r="D294" t="inlineStr">
        <is>
          <t>east</t>
        </is>
      </c>
      <c r="E294" t="inlineStr">
        <is>
          <t>SecuritySuite</t>
        </is>
      </c>
      <c r="F294" t="inlineStr">
        <is>
          <t>New License</t>
        </is>
      </c>
      <c r="G294" t="inlineStr">
        <is>
          <t>Tom Becker</t>
        </is>
      </c>
      <c r="H294" t="n">
        <v>105291.58</v>
      </c>
      <c r="I294" t="inlineStr">
        <is>
          <t>USD</t>
        </is>
      </c>
    </row>
    <row r="295">
      <c r="A295" t="inlineStr">
        <is>
          <t>BK10381</t>
        </is>
      </c>
      <c r="B295" s="4" t="n">
        <v>45745</v>
      </c>
      <c r="C295" t="inlineStr">
        <is>
          <t>Customer 094</t>
        </is>
      </c>
      <c r="D295" t="inlineStr">
        <is>
          <t>central</t>
        </is>
      </c>
      <c r="E295" t="inlineStr">
        <is>
          <t>CorePlatform</t>
        </is>
      </c>
      <c r="F295" t="inlineStr">
        <is>
          <t>Renewal</t>
        </is>
      </c>
      <c r="G295" t="inlineStr">
        <is>
          <t>Luis Ortega</t>
        </is>
      </c>
      <c r="H295" t="n">
        <v>81183.84</v>
      </c>
      <c r="I295" t="inlineStr">
        <is>
          <t>CAD</t>
        </is>
      </c>
    </row>
    <row r="296">
      <c r="A296" t="inlineStr">
        <is>
          <t>BK10101</t>
        </is>
      </c>
      <c r="B296" s="4" t="n">
        <v>45806</v>
      </c>
      <c r="C296" t="inlineStr">
        <is>
          <t>Customer 112</t>
        </is>
      </c>
      <c r="D296" t="inlineStr">
        <is>
          <t>central</t>
        </is>
      </c>
      <c r="E296" t="inlineStr">
        <is>
          <t>CorePlatform</t>
        </is>
      </c>
      <c r="F296" t="inlineStr">
        <is>
          <t>Services</t>
        </is>
      </c>
      <c r="G296" t="inlineStr">
        <is>
          <t>Wei Chen</t>
        </is>
      </c>
      <c r="H296" t="n">
        <v>5716.52</v>
      </c>
      <c r="I296" t="inlineStr">
        <is>
          <t>USD</t>
        </is>
      </c>
    </row>
    <row r="297">
      <c r="A297" t="inlineStr">
        <is>
          <t>BK10254</t>
        </is>
      </c>
      <c r="B297" s="4" t="n">
        <v>45465</v>
      </c>
      <c r="C297" t="inlineStr">
        <is>
          <t>Customer 024</t>
        </is>
      </c>
      <c r="D297" t="inlineStr">
        <is>
          <t>West</t>
        </is>
      </c>
      <c r="E297" t="inlineStr">
        <is>
          <t>CorePlatform</t>
        </is>
      </c>
      <c r="F297" t="inlineStr">
        <is>
          <t>New License</t>
        </is>
      </c>
      <c r="G297" t="inlineStr">
        <is>
          <t>Sara Cohen</t>
        </is>
      </c>
      <c r="H297" t="n">
        <v>151515.12</v>
      </c>
      <c r="I297" t="inlineStr">
        <is>
          <t>USD</t>
        </is>
      </c>
    </row>
    <row r="298">
      <c r="A298" t="inlineStr">
        <is>
          <t>BK10054</t>
        </is>
      </c>
      <c r="B298" s="3" t="inlineStr">
        <is>
          <t>05/31/2025</t>
        </is>
      </c>
      <c r="C298" t="inlineStr">
        <is>
          <t>Customer 115</t>
        </is>
      </c>
      <c r="D298" t="inlineStr">
        <is>
          <t>South</t>
        </is>
      </c>
      <c r="E298" t="inlineStr">
        <is>
          <t>DataConnect</t>
        </is>
      </c>
      <c r="F298" t="inlineStr">
        <is>
          <t>Services</t>
        </is>
      </c>
      <c r="G298" t="inlineStr">
        <is>
          <t>Anna Kowalski</t>
        </is>
      </c>
      <c r="H298" t="n">
        <v>48876.9</v>
      </c>
      <c r="I298" t="inlineStr">
        <is>
          <t>USD</t>
        </is>
      </c>
    </row>
    <row r="299">
      <c r="A299" t="inlineStr">
        <is>
          <t>BK10058</t>
        </is>
      </c>
      <c r="B299" s="3" t="inlineStr">
        <is>
          <t>01/24/2025</t>
        </is>
      </c>
      <c r="C299" t="inlineStr">
        <is>
          <t>Customer 046</t>
        </is>
      </c>
      <c r="D299" t="inlineStr">
        <is>
          <t>SOUTH</t>
        </is>
      </c>
      <c r="E299" t="inlineStr">
        <is>
          <t>DataConnect</t>
        </is>
      </c>
      <c r="F299" t="inlineStr">
        <is>
          <t>Services</t>
        </is>
      </c>
      <c r="G299" t="inlineStr">
        <is>
          <t>Priya Sharma</t>
        </is>
      </c>
      <c r="H299" t="n">
        <v>98265.03999999999</v>
      </c>
      <c r="I299" t="inlineStr">
        <is>
          <t>INR</t>
        </is>
      </c>
    </row>
    <row r="300">
      <c r="A300" t="inlineStr">
        <is>
          <t>BK10144</t>
        </is>
      </c>
      <c r="B300" s="3" t="inlineStr">
        <is>
          <t>11/16/2024</t>
        </is>
      </c>
      <c r="C300" t="inlineStr">
        <is>
          <t>Customer 091</t>
        </is>
      </c>
      <c r="D300" t="inlineStr">
        <is>
          <t>south</t>
        </is>
      </c>
      <c r="E300" t="inlineStr">
        <is>
          <t>DataConnect</t>
        </is>
      </c>
      <c r="F300" t="inlineStr">
        <is>
          <t>Support</t>
        </is>
      </c>
      <c r="G300" t="inlineStr">
        <is>
          <t>Anna Kowalski</t>
        </is>
      </c>
      <c r="H300" t="n">
        <v>23385.69</v>
      </c>
      <c r="I300" t="inlineStr">
        <is>
          <t>USD</t>
        </is>
      </c>
    </row>
    <row r="301">
      <c r="A301" t="inlineStr">
        <is>
          <t>BK10060</t>
        </is>
      </c>
      <c r="B301" s="4" t="n">
        <v>45706</v>
      </c>
      <c r="C301" t="inlineStr">
        <is>
          <t>Customer 118</t>
        </is>
      </c>
      <c r="D301" t="inlineStr">
        <is>
          <t>West</t>
        </is>
      </c>
      <c r="E301" t="inlineStr">
        <is>
          <t>CorePlatform</t>
        </is>
      </c>
      <c r="F301" t="inlineStr">
        <is>
          <t>Services</t>
        </is>
      </c>
      <c r="G301" t="inlineStr">
        <is>
          <t>Sara Cohen</t>
        </is>
      </c>
      <c r="H301" t="n">
        <v>107765.02</v>
      </c>
      <c r="I301" t="inlineStr">
        <is>
          <t>GBP</t>
        </is>
      </c>
    </row>
    <row r="302">
      <c r="A302" t="inlineStr">
        <is>
          <t>BK10261</t>
        </is>
      </c>
      <c r="B302" s="3" t="inlineStr">
        <is>
          <t>2024-03-25</t>
        </is>
      </c>
      <c r="C302" t="inlineStr">
        <is>
          <t>Customer 083</t>
        </is>
      </c>
      <c r="D302" t="inlineStr">
        <is>
          <t>SOUTH</t>
        </is>
      </c>
      <c r="E302" t="inlineStr">
        <is>
          <t>CorePlatform</t>
        </is>
      </c>
      <c r="F302" t="inlineStr">
        <is>
          <t>New License</t>
        </is>
      </c>
      <c r="G302" t="inlineStr">
        <is>
          <t>Anna Kowalski</t>
        </is>
      </c>
      <c r="H302" t="n">
        <v>43668.67</v>
      </c>
      <c r="I302" t="inlineStr">
        <is>
          <t>CAD</t>
        </is>
      </c>
    </row>
    <row r="303">
      <c r="A303" t="inlineStr">
        <is>
          <t>BK10053</t>
        </is>
      </c>
      <c r="B303" s="3" t="inlineStr">
        <is>
          <t>2024-05-04</t>
        </is>
      </c>
      <c r="C303" t="inlineStr">
        <is>
          <t>Customer 103</t>
        </is>
      </c>
      <c r="D303" t="inlineStr">
        <is>
          <t>SOUTH</t>
        </is>
      </c>
      <c r="E303" t="inlineStr">
        <is>
          <t>SecuritySuite</t>
        </is>
      </c>
      <c r="F303" t="inlineStr">
        <is>
          <t>Services</t>
        </is>
      </c>
      <c r="G303" t="inlineStr">
        <is>
          <t>Priya Sharma</t>
        </is>
      </c>
      <c r="H303" t="n">
        <v>111439.46</v>
      </c>
      <c r="I303" t="inlineStr">
        <is>
          <t>GBP</t>
        </is>
      </c>
    </row>
    <row r="304">
      <c r="A304" t="inlineStr">
        <is>
          <t>BK10214</t>
        </is>
      </c>
      <c r="B304" s="4" t="n">
        <v>45587</v>
      </c>
      <c r="C304" t="inlineStr">
        <is>
          <t>Customer 041</t>
        </is>
      </c>
      <c r="D304" t="inlineStr">
        <is>
          <t xml:space="preserve">west </t>
        </is>
      </c>
      <c r="E304" t="inlineStr">
        <is>
          <t>SecuritySuite</t>
        </is>
      </c>
      <c r="F304" t="inlineStr">
        <is>
          <t>Support</t>
        </is>
      </c>
      <c r="G304" t="inlineStr">
        <is>
          <t>Sara Cohen</t>
        </is>
      </c>
      <c r="H304" t="n">
        <v>53938.72</v>
      </c>
      <c r="I304" t="inlineStr">
        <is>
          <t>EUR</t>
        </is>
      </c>
    </row>
    <row r="305">
      <c r="A305" t="inlineStr">
        <is>
          <t>BK10070</t>
        </is>
      </c>
      <c r="B305" s="3" t="inlineStr">
        <is>
          <t>03/29/2024</t>
        </is>
      </c>
      <c r="C305" t="inlineStr">
        <is>
          <t>Customer 032</t>
        </is>
      </c>
      <c r="D305" t="inlineStr">
        <is>
          <t>central</t>
        </is>
      </c>
      <c r="E305" t="inlineStr">
        <is>
          <t>DataConnect</t>
        </is>
      </c>
      <c r="F305" t="inlineStr">
        <is>
          <t>Support</t>
        </is>
      </c>
      <c r="G305" t="inlineStr">
        <is>
          <t>Luis Ortega</t>
        </is>
      </c>
      <c r="H305" t="n">
        <v>8079.9</v>
      </c>
      <c r="I305" t="inlineStr">
        <is>
          <t>CAD</t>
        </is>
      </c>
    </row>
    <row r="306">
      <c r="A306" t="inlineStr">
        <is>
          <t>BK10138</t>
        </is>
      </c>
      <c r="B306" s="4" t="n">
        <v>45721</v>
      </c>
      <c r="C306" t="inlineStr">
        <is>
          <t>Customer 021</t>
        </is>
      </c>
      <c r="D306" t="inlineStr">
        <is>
          <t>SOUTH</t>
        </is>
      </c>
      <c r="E306" t="inlineStr">
        <is>
          <t>SecuritySuite</t>
        </is>
      </c>
      <c r="F306" t="inlineStr">
        <is>
          <t>Support</t>
        </is>
      </c>
      <c r="G306" t="inlineStr">
        <is>
          <t>Anna Kowalski</t>
        </is>
      </c>
      <c r="H306" t="n">
        <v>140499.9</v>
      </c>
      <c r="I306" t="inlineStr">
        <is>
          <t>EUR</t>
        </is>
      </c>
    </row>
    <row r="307">
      <c r="A307" t="inlineStr">
        <is>
          <t>BK10353</t>
        </is>
      </c>
      <c r="B307" s="3" t="inlineStr">
        <is>
          <t>2024-02-08</t>
        </is>
      </c>
      <c r="C307" t="inlineStr">
        <is>
          <t>Customer 030</t>
        </is>
      </c>
      <c r="D307" t="inlineStr">
        <is>
          <t xml:space="preserve">East </t>
        </is>
      </c>
      <c r="E307" t="inlineStr">
        <is>
          <t>CorePlatform</t>
        </is>
      </c>
      <c r="F307" t="inlineStr">
        <is>
          <t>Services</t>
        </is>
      </c>
      <c r="G307" t="inlineStr">
        <is>
          <t>John Smith</t>
        </is>
      </c>
      <c r="H307" t="n">
        <v>3120.98</v>
      </c>
      <c r="I307" t="inlineStr">
        <is>
          <t>CAD</t>
        </is>
      </c>
    </row>
    <row r="308">
      <c r="A308" t="inlineStr">
        <is>
          <t>BK10051</t>
        </is>
      </c>
      <c r="B308" s="3" t="inlineStr">
        <is>
          <t>03/15/2024</t>
        </is>
      </c>
      <c r="C308" t="inlineStr">
        <is>
          <t>Customer 114</t>
        </is>
      </c>
      <c r="D308" t="inlineStr">
        <is>
          <t>south</t>
        </is>
      </c>
      <c r="E308" t="inlineStr">
        <is>
          <t>AnalyticsAddon</t>
        </is>
      </c>
      <c r="F308" t="inlineStr">
        <is>
          <t>Services</t>
        </is>
      </c>
      <c r="G308" t="inlineStr">
        <is>
          <t>Anna Kowalski</t>
        </is>
      </c>
      <c r="H308" t="n">
        <v>90504.75999999999</v>
      </c>
      <c r="I308" t="inlineStr">
        <is>
          <t>USD</t>
        </is>
      </c>
    </row>
    <row r="309">
      <c r="A309" t="inlineStr">
        <is>
          <t>BK10215</t>
        </is>
      </c>
      <c r="B309" s="4" t="n">
        <v>45680</v>
      </c>
      <c r="C309" t="inlineStr">
        <is>
          <t>Customer 099</t>
        </is>
      </c>
      <c r="D309" t="inlineStr">
        <is>
          <t>South</t>
        </is>
      </c>
      <c r="E309" t="inlineStr">
        <is>
          <t>SecuritySuite</t>
        </is>
      </c>
      <c r="F309" t="inlineStr">
        <is>
          <t>New License</t>
        </is>
      </c>
      <c r="G309" t="inlineStr">
        <is>
          <t>Anna Kowalski</t>
        </is>
      </c>
      <c r="H309" t="n">
        <v>53910.57</v>
      </c>
      <c r="I309" t="inlineStr">
        <is>
          <t>GBP</t>
        </is>
      </c>
    </row>
    <row r="310">
      <c r="A310" t="inlineStr">
        <is>
          <t>BK10154</t>
        </is>
      </c>
      <c r="B310" s="3" t="inlineStr">
        <is>
          <t>01/07/2025</t>
        </is>
      </c>
      <c r="C310" t="inlineStr">
        <is>
          <t>Customer 050</t>
        </is>
      </c>
      <c r="D310" t="inlineStr">
        <is>
          <t>central</t>
        </is>
      </c>
      <c r="E310" t="inlineStr">
        <is>
          <t>SecuritySuite</t>
        </is>
      </c>
      <c r="F310" t="inlineStr">
        <is>
          <t>New License</t>
        </is>
      </c>
      <c r="G310" t="inlineStr">
        <is>
          <t>Luis Ortega</t>
        </is>
      </c>
      <c r="H310" t="n">
        <v>142693.17</v>
      </c>
      <c r="I310" t="inlineStr">
        <is>
          <t>GBP</t>
        </is>
      </c>
    </row>
    <row r="311">
      <c r="A311" t="inlineStr">
        <is>
          <t>BK10004</t>
        </is>
      </c>
      <c r="B311" s="3" t="inlineStr">
        <is>
          <t>12/18/2024</t>
        </is>
      </c>
      <c r="C311" t="inlineStr">
        <is>
          <t>Customer 094</t>
        </is>
      </c>
      <c r="D311" t="inlineStr">
        <is>
          <t>central</t>
        </is>
      </c>
      <c r="E311" t="inlineStr">
        <is>
          <t>CorePlatform</t>
        </is>
      </c>
      <c r="F311" t="inlineStr">
        <is>
          <t>Services</t>
        </is>
      </c>
      <c r="G311" t="inlineStr">
        <is>
          <t>Wei Chen</t>
        </is>
      </c>
      <c r="H311" t="n">
        <v>16947.64</v>
      </c>
      <c r="I311" t="inlineStr">
        <is>
          <t>USD</t>
        </is>
      </c>
    </row>
    <row r="312">
      <c r="A312" t="inlineStr">
        <is>
          <t>BK10105</t>
        </is>
      </c>
      <c r="B312" s="3" t="inlineStr">
        <is>
          <t>01/30/2024</t>
        </is>
      </c>
      <c r="C312" t="inlineStr">
        <is>
          <t>Customer 102</t>
        </is>
      </c>
      <c r="D312" t="inlineStr">
        <is>
          <t>East</t>
        </is>
      </c>
      <c r="E312" t="inlineStr">
        <is>
          <t>SecuritySuite</t>
        </is>
      </c>
      <c r="F312" t="inlineStr">
        <is>
          <t>Support</t>
        </is>
      </c>
      <c r="G312" t="inlineStr">
        <is>
          <t>Tom Becker</t>
        </is>
      </c>
      <c r="H312" t="n">
        <v>69346.87</v>
      </c>
      <c r="I312" t="inlineStr">
        <is>
          <t>USD</t>
        </is>
      </c>
    </row>
    <row r="313">
      <c r="A313" t="inlineStr">
        <is>
          <t>BK10078</t>
        </is>
      </c>
      <c r="B313" s="4" t="n">
        <v>45591</v>
      </c>
      <c r="C313" t="inlineStr">
        <is>
          <t>Customer 014</t>
        </is>
      </c>
      <c r="D313" t="inlineStr">
        <is>
          <t>West</t>
        </is>
      </c>
      <c r="E313" t="inlineStr">
        <is>
          <t>SecuritySuite</t>
        </is>
      </c>
      <c r="F313" t="inlineStr">
        <is>
          <t>Services</t>
        </is>
      </c>
      <c r="G313" t="inlineStr">
        <is>
          <t>Sara Cohen</t>
        </is>
      </c>
      <c r="H313" t="n">
        <v>87732.41</v>
      </c>
      <c r="I313" t="inlineStr">
        <is>
          <t>USD</t>
        </is>
      </c>
    </row>
    <row r="314">
      <c r="A314" t="inlineStr">
        <is>
          <t>BK10242</t>
        </is>
      </c>
      <c r="B314" s="4" t="n">
        <v>45825</v>
      </c>
      <c r="C314" t="inlineStr">
        <is>
          <t>Customer 039</t>
        </is>
      </c>
      <c r="D314" t="inlineStr">
        <is>
          <t xml:space="preserve">west </t>
        </is>
      </c>
      <c r="E314" t="inlineStr">
        <is>
          <t>CorePlatform</t>
        </is>
      </c>
      <c r="F314" t="inlineStr">
        <is>
          <t>Renewal</t>
        </is>
      </c>
      <c r="G314" t="inlineStr">
        <is>
          <t>Sara Cohen</t>
        </is>
      </c>
      <c r="H314" t="n">
        <v>113800.79</v>
      </c>
      <c r="I314" t="inlineStr">
        <is>
          <t>EUR</t>
        </is>
      </c>
    </row>
    <row r="315">
      <c r="A315" t="inlineStr">
        <is>
          <t>BK10129</t>
        </is>
      </c>
      <c r="B315" s="3" t="inlineStr">
        <is>
          <t>11/28/2024</t>
        </is>
      </c>
      <c r="C315" t="inlineStr">
        <is>
          <t>Customer 059</t>
        </is>
      </c>
      <c r="D315" t="inlineStr">
        <is>
          <t>south</t>
        </is>
      </c>
      <c r="E315" t="inlineStr">
        <is>
          <t>DataConnect</t>
        </is>
      </c>
      <c r="F315" t="inlineStr">
        <is>
          <t>New License</t>
        </is>
      </c>
      <c r="G315" t="inlineStr">
        <is>
          <t>Anna Kowalski</t>
        </is>
      </c>
      <c r="H315" t="n">
        <v>143378.01</v>
      </c>
      <c r="I315" t="inlineStr">
        <is>
          <t>USD</t>
        </is>
      </c>
    </row>
    <row r="316">
      <c r="A316" t="inlineStr">
        <is>
          <t>BK10280</t>
        </is>
      </c>
      <c r="B316" s="3" t="inlineStr">
        <is>
          <t>2025-03-04</t>
        </is>
      </c>
      <c r="C316" t="inlineStr">
        <is>
          <t>Customer 090</t>
        </is>
      </c>
      <c r="D316" t="inlineStr">
        <is>
          <t>East</t>
        </is>
      </c>
      <c r="E316" t="inlineStr">
        <is>
          <t>CorePlatform</t>
        </is>
      </c>
      <c r="F316" t="inlineStr">
        <is>
          <t>Renewal</t>
        </is>
      </c>
      <c r="G316" t="inlineStr">
        <is>
          <t>Tom Becker</t>
        </is>
      </c>
      <c r="H316" t="n">
        <v>119395.49</v>
      </c>
      <c r="I316" t="inlineStr">
        <is>
          <t>USD</t>
        </is>
      </c>
    </row>
    <row r="317">
      <c r="A317" t="inlineStr">
        <is>
          <t>BK10332</t>
        </is>
      </c>
      <c r="B317" s="4" t="n">
        <v>45543</v>
      </c>
      <c r="C317" t="inlineStr">
        <is>
          <t>Customer 120</t>
        </is>
      </c>
      <c r="D317" t="inlineStr">
        <is>
          <t xml:space="preserve">west </t>
        </is>
      </c>
      <c r="E317" t="inlineStr">
        <is>
          <t>CorePlatform</t>
        </is>
      </c>
      <c r="F317" t="inlineStr">
        <is>
          <t>Renewal</t>
        </is>
      </c>
      <c r="G317" t="inlineStr">
        <is>
          <t>Maria Garcia</t>
        </is>
      </c>
      <c r="H317" t="n">
        <v>98853.5</v>
      </c>
      <c r="I317" t="inlineStr">
        <is>
          <t>GBP</t>
        </is>
      </c>
    </row>
    <row r="318">
      <c r="A318" t="inlineStr">
        <is>
          <t>BK10194</t>
        </is>
      </c>
      <c r="B318" s="4" t="n">
        <v>45387</v>
      </c>
      <c r="C318" t="inlineStr">
        <is>
          <t>Customer 022</t>
        </is>
      </c>
      <c r="D318" t="inlineStr">
        <is>
          <t>West</t>
        </is>
      </c>
      <c r="E318" t="inlineStr">
        <is>
          <t>SecuritySuite</t>
        </is>
      </c>
      <c r="F318" t="inlineStr">
        <is>
          <t>New License</t>
        </is>
      </c>
      <c r="G318" t="inlineStr">
        <is>
          <t>Maria Garcia</t>
        </is>
      </c>
      <c r="H318" t="n">
        <v>149066.82</v>
      </c>
      <c r="I318" t="inlineStr">
        <is>
          <t>USD</t>
        </is>
      </c>
    </row>
    <row r="319">
      <c r="A319" t="inlineStr">
        <is>
          <t>BK10227</t>
        </is>
      </c>
      <c r="B319" s="3" t="inlineStr">
        <is>
          <t>2024-03-04</t>
        </is>
      </c>
      <c r="C319" t="inlineStr">
        <is>
          <t>Customer 040</t>
        </is>
      </c>
      <c r="D319" t="inlineStr">
        <is>
          <t xml:space="preserve">East </t>
        </is>
      </c>
      <c r="E319" t="inlineStr">
        <is>
          <t>DataConnect</t>
        </is>
      </c>
      <c r="F319" t="inlineStr">
        <is>
          <t>Support</t>
        </is>
      </c>
      <c r="G319" t="inlineStr">
        <is>
          <t>Tom Becker</t>
        </is>
      </c>
      <c r="H319" t="n">
        <v>125181.4</v>
      </c>
      <c r="I319" t="inlineStr">
        <is>
          <t>GBP</t>
        </is>
      </c>
    </row>
    <row r="320">
      <c r="A320" t="inlineStr">
        <is>
          <t>BK10213</t>
        </is>
      </c>
      <c r="B320" s="4" t="n">
        <v>45562</v>
      </c>
      <c r="C320" t="inlineStr">
        <is>
          <t>Customer 032</t>
        </is>
      </c>
      <c r="D320" t="inlineStr">
        <is>
          <t>SOUTH</t>
        </is>
      </c>
      <c r="E320" t="inlineStr">
        <is>
          <t>SecuritySuite</t>
        </is>
      </c>
      <c r="F320" t="inlineStr">
        <is>
          <t>Renewal</t>
        </is>
      </c>
      <c r="G320" t="inlineStr">
        <is>
          <t>Priya Sharma</t>
        </is>
      </c>
      <c r="H320" t="n">
        <v>169642.94</v>
      </c>
      <c r="I320" t="inlineStr">
        <is>
          <t>BRL</t>
        </is>
      </c>
    </row>
    <row r="321">
      <c r="A321" t="inlineStr">
        <is>
          <t>BK10059</t>
        </is>
      </c>
      <c r="B321" s="4" t="n">
        <v>45517</v>
      </c>
      <c r="C321" t="inlineStr">
        <is>
          <t>Customer 035</t>
        </is>
      </c>
      <c r="D321" t="inlineStr">
        <is>
          <t>SOUTH</t>
        </is>
      </c>
      <c r="E321" t="inlineStr">
        <is>
          <t>DataConnect</t>
        </is>
      </c>
      <c r="F321" t="inlineStr">
        <is>
          <t>New License</t>
        </is>
      </c>
      <c r="G321" t="inlineStr">
        <is>
          <t>Priya Sharma</t>
        </is>
      </c>
      <c r="H321" t="n">
        <v>71827.72</v>
      </c>
      <c r="I321" t="inlineStr">
        <is>
          <t>GBP</t>
        </is>
      </c>
    </row>
    <row r="322">
      <c r="A322" t="inlineStr">
        <is>
          <t>BK10322</t>
        </is>
      </c>
      <c r="B322" s="3" t="inlineStr">
        <is>
          <t>2025-04-09</t>
        </is>
      </c>
      <c r="C322" t="inlineStr">
        <is>
          <t>Customer 086</t>
        </is>
      </c>
      <c r="D322" t="inlineStr">
        <is>
          <t xml:space="preserve">East </t>
        </is>
      </c>
      <c r="E322" t="inlineStr">
        <is>
          <t>CorePlatform</t>
        </is>
      </c>
      <c r="F322" t="inlineStr">
        <is>
          <t>New License</t>
        </is>
      </c>
      <c r="G322" t="inlineStr">
        <is>
          <t>Tom Becker</t>
        </is>
      </c>
      <c r="H322" t="n">
        <v>128298.41</v>
      </c>
      <c r="I322" t="inlineStr">
        <is>
          <t>GBP</t>
        </is>
      </c>
    </row>
    <row r="323">
      <c r="A323" t="inlineStr">
        <is>
          <t>BK10010</t>
        </is>
      </c>
      <c r="B323" s="4" t="n">
        <v>45561</v>
      </c>
      <c r="C323" t="inlineStr">
        <is>
          <t>Customer 047</t>
        </is>
      </c>
      <c r="D323" t="inlineStr">
        <is>
          <t>South</t>
        </is>
      </c>
      <c r="E323" t="inlineStr">
        <is>
          <t>AnalyticsAddon</t>
        </is>
      </c>
      <c r="F323" t="inlineStr">
        <is>
          <t>Services</t>
        </is>
      </c>
      <c r="G323" t="inlineStr">
        <is>
          <t>Anna Kowalski</t>
        </is>
      </c>
      <c r="H323" t="n">
        <v>19090.97</v>
      </c>
      <c r="I323" t="inlineStr">
        <is>
          <t>USD</t>
        </is>
      </c>
    </row>
    <row r="324">
      <c r="A324" t="inlineStr">
        <is>
          <t>BK10055</t>
        </is>
      </c>
      <c r="B324" s="3" t="inlineStr">
        <is>
          <t>10/10/2024</t>
        </is>
      </c>
      <c r="C324" t="inlineStr">
        <is>
          <t>Customer 036</t>
        </is>
      </c>
      <c r="D324" t="inlineStr">
        <is>
          <t>SOUTH</t>
        </is>
      </c>
      <c r="E324" t="inlineStr">
        <is>
          <t>CorePlatform</t>
        </is>
      </c>
      <c r="F324" t="inlineStr">
        <is>
          <t>Support</t>
        </is>
      </c>
      <c r="G324" t="inlineStr">
        <is>
          <t>Priya Sharma</t>
        </is>
      </c>
      <c r="H324" t="n">
        <v>44505.36</v>
      </c>
      <c r="I324" t="inlineStr">
        <is>
          <t>USD</t>
        </is>
      </c>
    </row>
    <row r="325">
      <c r="A325" t="inlineStr">
        <is>
          <t>BK10395</t>
        </is>
      </c>
      <c r="B325" s="3" t="inlineStr">
        <is>
          <t>2024-09-21</t>
        </is>
      </c>
      <c r="C325" t="inlineStr">
        <is>
          <t>Customer 084</t>
        </is>
      </c>
      <c r="D325" t="inlineStr">
        <is>
          <t>West</t>
        </is>
      </c>
      <c r="E325" t="inlineStr">
        <is>
          <t>AnalyticsAddon</t>
        </is>
      </c>
      <c r="F325" t="inlineStr">
        <is>
          <t>Support</t>
        </is>
      </c>
      <c r="G325" t="inlineStr">
        <is>
          <t>Sara Cohen</t>
        </is>
      </c>
      <c r="H325" t="n">
        <v>42529.04</v>
      </c>
      <c r="I325" t="inlineStr">
        <is>
          <t>CAD</t>
        </is>
      </c>
    </row>
    <row r="326">
      <c r="A326" t="inlineStr">
        <is>
          <t>BK10304</t>
        </is>
      </c>
      <c r="B326" s="4" t="n">
        <v>45658</v>
      </c>
      <c r="C326" t="inlineStr">
        <is>
          <t>Customer 028</t>
        </is>
      </c>
      <c r="D326" t="inlineStr">
        <is>
          <t>EAST</t>
        </is>
      </c>
      <c r="E326" t="inlineStr">
        <is>
          <t>AnalyticsAddon</t>
        </is>
      </c>
      <c r="F326" t="inlineStr">
        <is>
          <t>Services</t>
        </is>
      </c>
      <c r="G326" t="inlineStr">
        <is>
          <t>Tom Becker</t>
        </is>
      </c>
      <c r="H326" t="n">
        <v>50531.02</v>
      </c>
      <c r="I326" t="inlineStr">
        <is>
          <t>INR</t>
        </is>
      </c>
    </row>
    <row r="327">
      <c r="A327" t="inlineStr">
        <is>
          <t>BK10024</t>
        </is>
      </c>
      <c r="B327" s="3" t="inlineStr">
        <is>
          <t>2024-04-10</t>
        </is>
      </c>
      <c r="C327" t="inlineStr">
        <is>
          <t>Customer 012</t>
        </is>
      </c>
      <c r="D327" t="inlineStr">
        <is>
          <t xml:space="preserve">East </t>
        </is>
      </c>
      <c r="E327" t="inlineStr">
        <is>
          <t>AnalyticsAddon</t>
        </is>
      </c>
      <c r="F327" t="inlineStr">
        <is>
          <t>Services</t>
        </is>
      </c>
      <c r="G327" t="inlineStr">
        <is>
          <t>John Smith</t>
        </is>
      </c>
      <c r="H327" t="n">
        <v>88958.48</v>
      </c>
      <c r="I327" t="inlineStr">
        <is>
          <t>USD</t>
        </is>
      </c>
    </row>
    <row r="328">
      <c r="A328" t="inlineStr">
        <is>
          <t>BK10319</t>
        </is>
      </c>
      <c r="B328" s="4" t="n">
        <v>45699</v>
      </c>
      <c r="C328" t="inlineStr">
        <is>
          <t>Customer 055</t>
        </is>
      </c>
      <c r="D328" t="inlineStr">
        <is>
          <t xml:space="preserve">Central </t>
        </is>
      </c>
      <c r="E328" t="inlineStr">
        <is>
          <t>DataConnect</t>
        </is>
      </c>
      <c r="F328" t="inlineStr">
        <is>
          <t>New License</t>
        </is>
      </c>
      <c r="G328" t="inlineStr">
        <is>
          <t>Luis Ortega</t>
        </is>
      </c>
      <c r="H328" t="n">
        <v>116375.1</v>
      </c>
      <c r="I328" t="inlineStr">
        <is>
          <t>EUR</t>
        </is>
      </c>
    </row>
    <row r="329">
      <c r="A329" t="inlineStr">
        <is>
          <t>BK10382</t>
        </is>
      </c>
      <c r="B329" s="4" t="n">
        <v>45708</v>
      </c>
      <c r="C329" t="inlineStr">
        <is>
          <t>Customer 106</t>
        </is>
      </c>
      <c r="D329" t="inlineStr">
        <is>
          <t>South</t>
        </is>
      </c>
      <c r="E329" t="inlineStr">
        <is>
          <t>AnalyticsAddon</t>
        </is>
      </c>
      <c r="F329" t="inlineStr">
        <is>
          <t>New License</t>
        </is>
      </c>
      <c r="G329" t="inlineStr">
        <is>
          <t>Anna Kowalski</t>
        </is>
      </c>
      <c r="H329" t="n">
        <v>58068.79</v>
      </c>
      <c r="I329" t="inlineStr">
        <is>
          <t>EUR</t>
        </is>
      </c>
    </row>
    <row r="330">
      <c r="A330" t="inlineStr">
        <is>
          <t>BK10130</t>
        </is>
      </c>
      <c r="B330" s="3" t="inlineStr">
        <is>
          <t>08/08/2024</t>
        </is>
      </c>
      <c r="C330" t="inlineStr">
        <is>
          <t>Customer 114</t>
        </is>
      </c>
      <c r="D330" t="inlineStr">
        <is>
          <t>South</t>
        </is>
      </c>
      <c r="E330" t="inlineStr">
        <is>
          <t>DataConnect</t>
        </is>
      </c>
      <c r="F330" t="inlineStr">
        <is>
          <t>Support</t>
        </is>
      </c>
      <c r="G330" t="inlineStr">
        <is>
          <t>Anna Kowalski</t>
        </is>
      </c>
      <c r="H330" t="n">
        <v>149453.2</v>
      </c>
      <c r="I330" t="inlineStr">
        <is>
          <t>USD</t>
        </is>
      </c>
    </row>
    <row r="331">
      <c r="A331" t="inlineStr">
        <is>
          <t>BK10327</t>
        </is>
      </c>
      <c r="B331" s="4" t="n">
        <v>45304</v>
      </c>
      <c r="C331" t="inlineStr">
        <is>
          <t>Customer 061</t>
        </is>
      </c>
      <c r="D331" t="inlineStr">
        <is>
          <t xml:space="preserve">west </t>
        </is>
      </c>
      <c r="E331" t="inlineStr">
        <is>
          <t>DataConnect</t>
        </is>
      </c>
      <c r="F331" t="inlineStr">
        <is>
          <t>Renewal</t>
        </is>
      </c>
      <c r="G331" t="inlineStr">
        <is>
          <t>Maria Garcia</t>
        </is>
      </c>
      <c r="H331" t="n">
        <v>34676.09</v>
      </c>
      <c r="I331" t="inlineStr">
        <is>
          <t>BRL</t>
        </is>
      </c>
    </row>
    <row r="332">
      <c r="A332" t="inlineStr">
        <is>
          <t>BK10192</t>
        </is>
      </c>
      <c r="B332" s="4" t="n">
        <v>45348</v>
      </c>
      <c r="C332" t="inlineStr">
        <is>
          <t>Customer 039</t>
        </is>
      </c>
      <c r="D332" t="inlineStr">
        <is>
          <t xml:space="preserve">East </t>
        </is>
      </c>
      <c r="E332" t="inlineStr">
        <is>
          <t>AnalyticsAddon</t>
        </is>
      </c>
      <c r="F332" t="inlineStr">
        <is>
          <t>Support</t>
        </is>
      </c>
      <c r="G332" t="inlineStr">
        <is>
          <t>John Smith</t>
        </is>
      </c>
      <c r="H332" t="n">
        <v>168448.6</v>
      </c>
      <c r="I332" t="inlineStr">
        <is>
          <t>USD</t>
        </is>
      </c>
    </row>
    <row r="333">
      <c r="A333" t="inlineStr">
        <is>
          <t>BK10383</t>
        </is>
      </c>
      <c r="B333" s="4" t="n">
        <v>45430</v>
      </c>
      <c r="C333" t="inlineStr">
        <is>
          <t>Customer 025</t>
        </is>
      </c>
      <c r="D333" t="inlineStr">
        <is>
          <t xml:space="preserve">East </t>
        </is>
      </c>
      <c r="E333" t="inlineStr">
        <is>
          <t>CorePlatform</t>
        </is>
      </c>
      <c r="F333" t="inlineStr">
        <is>
          <t>Renewal</t>
        </is>
      </c>
      <c r="G333" t="inlineStr">
        <is>
          <t>John Smith</t>
        </is>
      </c>
      <c r="H333" t="n">
        <v>8853.57</v>
      </c>
      <c r="I333" t="inlineStr">
        <is>
          <t>USD</t>
        </is>
      </c>
    </row>
    <row r="334">
      <c r="A334" t="inlineStr">
        <is>
          <t>BK10187</t>
        </is>
      </c>
      <c r="B334" s="3" t="inlineStr">
        <is>
          <t>03/31/2025</t>
        </is>
      </c>
      <c r="C334" t="inlineStr">
        <is>
          <t>Customer 086</t>
        </is>
      </c>
      <c r="D334" t="inlineStr">
        <is>
          <t>east</t>
        </is>
      </c>
      <c r="E334" t="inlineStr">
        <is>
          <t>CorePlatform</t>
        </is>
      </c>
      <c r="F334" t="inlineStr">
        <is>
          <t>Support</t>
        </is>
      </c>
      <c r="G334" t="inlineStr">
        <is>
          <t>Tom Becker</t>
        </is>
      </c>
      <c r="H334" t="n">
        <v>160765.71</v>
      </c>
      <c r="I334" t="inlineStr">
        <is>
          <t>CAD</t>
        </is>
      </c>
    </row>
    <row r="335">
      <c r="A335" t="inlineStr">
        <is>
          <t>BK10063</t>
        </is>
      </c>
      <c r="B335" s="3" t="inlineStr">
        <is>
          <t>2024-01-20</t>
        </is>
      </c>
      <c r="C335" t="inlineStr">
        <is>
          <t>Customer 029</t>
        </is>
      </c>
      <c r="D335" t="inlineStr">
        <is>
          <t>East</t>
        </is>
      </c>
      <c r="E335" t="inlineStr">
        <is>
          <t>CorePlatform</t>
        </is>
      </c>
      <c r="F335" t="inlineStr">
        <is>
          <t>New License</t>
        </is>
      </c>
      <c r="G335" t="inlineStr">
        <is>
          <t>Tom Becker</t>
        </is>
      </c>
      <c r="H335" t="n">
        <v>171081.28</v>
      </c>
      <c r="I335" t="inlineStr">
        <is>
          <t>USD</t>
        </is>
      </c>
    </row>
    <row r="336">
      <c r="A336" t="inlineStr">
        <is>
          <t>BK10025</t>
        </is>
      </c>
      <c r="B336" s="3" t="inlineStr">
        <is>
          <t>02/14/2025</t>
        </is>
      </c>
      <c r="C336" t="inlineStr">
        <is>
          <t>Customer 049</t>
        </is>
      </c>
      <c r="D336" t="inlineStr">
        <is>
          <t>East</t>
        </is>
      </c>
      <c r="E336" t="inlineStr">
        <is>
          <t>DataConnect</t>
        </is>
      </c>
      <c r="F336" t="inlineStr">
        <is>
          <t>Support</t>
        </is>
      </c>
      <c r="G336" t="inlineStr">
        <is>
          <t>John Smith</t>
        </is>
      </c>
      <c r="H336" t="n">
        <v>166993.7</v>
      </c>
      <c r="I336" t="inlineStr">
        <is>
          <t>INR</t>
        </is>
      </c>
    </row>
    <row r="337">
      <c r="A337" t="inlineStr">
        <is>
          <t>BK10258</t>
        </is>
      </c>
      <c r="B337" s="4" t="n">
        <v>45444</v>
      </c>
      <c r="C337" t="inlineStr">
        <is>
          <t>Customer 080</t>
        </is>
      </c>
      <c r="D337" t="inlineStr">
        <is>
          <t>West</t>
        </is>
      </c>
      <c r="E337" t="inlineStr">
        <is>
          <t>SecuritySuite</t>
        </is>
      </c>
      <c r="F337" t="inlineStr">
        <is>
          <t>Support</t>
        </is>
      </c>
      <c r="G337" t="inlineStr">
        <is>
          <t>Maria Garcia</t>
        </is>
      </c>
      <c r="H337" t="n">
        <v>50316.48</v>
      </c>
      <c r="I337" t="inlineStr">
        <is>
          <t>USD</t>
        </is>
      </c>
    </row>
    <row r="338">
      <c r="A338" t="inlineStr">
        <is>
          <t>BK10361</t>
        </is>
      </c>
      <c r="B338" s="4" t="n">
        <v>45462</v>
      </c>
      <c r="C338" t="inlineStr">
        <is>
          <t>Customer 113</t>
        </is>
      </c>
      <c r="D338" t="inlineStr">
        <is>
          <t>SOUTH</t>
        </is>
      </c>
      <c r="E338" t="inlineStr">
        <is>
          <t>SecuritySuite</t>
        </is>
      </c>
      <c r="F338" t="inlineStr">
        <is>
          <t>Services</t>
        </is>
      </c>
      <c r="G338" t="inlineStr">
        <is>
          <t>Anna Kowalski</t>
        </is>
      </c>
      <c r="H338" t="n">
        <v>20952.86</v>
      </c>
      <c r="I338" t="inlineStr">
        <is>
          <t>EUR</t>
        </is>
      </c>
    </row>
    <row r="339">
      <c r="A339" t="inlineStr">
        <is>
          <t>BK10011</t>
        </is>
      </c>
      <c r="B339" s="4" t="n">
        <v>45404</v>
      </c>
      <c r="C339" t="inlineStr">
        <is>
          <t>Customer 102</t>
        </is>
      </c>
      <c r="D339" t="inlineStr">
        <is>
          <t>West</t>
        </is>
      </c>
      <c r="E339" t="inlineStr">
        <is>
          <t>DataConnect</t>
        </is>
      </c>
      <c r="F339" t="inlineStr">
        <is>
          <t>New License</t>
        </is>
      </c>
      <c r="G339" t="inlineStr">
        <is>
          <t>Maria Garcia</t>
        </is>
      </c>
      <c r="H339" t="n">
        <v>71103.81</v>
      </c>
      <c r="I339" t="inlineStr">
        <is>
          <t>EUR</t>
        </is>
      </c>
    </row>
    <row r="340">
      <c r="A340" t="inlineStr">
        <is>
          <t>BK10108</t>
        </is>
      </c>
      <c r="B340" s="3" t="inlineStr">
        <is>
          <t>04/21/2025</t>
        </is>
      </c>
      <c r="C340" t="inlineStr">
        <is>
          <t>Customer 010</t>
        </is>
      </c>
      <c r="D340" t="inlineStr">
        <is>
          <t>central</t>
        </is>
      </c>
      <c r="E340" t="inlineStr">
        <is>
          <t>SecuritySuite</t>
        </is>
      </c>
      <c r="F340" t="inlineStr">
        <is>
          <t>Support</t>
        </is>
      </c>
      <c r="G340" t="inlineStr">
        <is>
          <t>Wei Chen</t>
        </is>
      </c>
      <c r="H340" t="n">
        <v>116092.15</v>
      </c>
      <c r="I340" t="inlineStr">
        <is>
          <t>EUR</t>
        </is>
      </c>
    </row>
    <row r="341">
      <c r="A341" t="inlineStr">
        <is>
          <t>BK10067</t>
        </is>
      </c>
      <c r="B341" s="4" t="n">
        <v>45415</v>
      </c>
      <c r="C341" t="inlineStr">
        <is>
          <t>Customer 069</t>
        </is>
      </c>
      <c r="D341" t="inlineStr">
        <is>
          <t>EAST</t>
        </is>
      </c>
      <c r="E341" t="inlineStr">
        <is>
          <t>SecuritySuite</t>
        </is>
      </c>
      <c r="F341" t="inlineStr">
        <is>
          <t>New License</t>
        </is>
      </c>
      <c r="G341" t="inlineStr">
        <is>
          <t>Tom Becker</t>
        </is>
      </c>
      <c r="H341" t="n">
        <v>92555.06</v>
      </c>
      <c r="I341" t="inlineStr">
        <is>
          <t>USD</t>
        </is>
      </c>
    </row>
    <row r="342">
      <c r="A342" t="inlineStr">
        <is>
          <t>BK10114</t>
        </is>
      </c>
      <c r="B342" s="3" t="inlineStr">
        <is>
          <t>06/17/2024</t>
        </is>
      </c>
      <c r="C342" t="inlineStr">
        <is>
          <t>Customer 104</t>
        </is>
      </c>
      <c r="D342" t="inlineStr">
        <is>
          <t>central</t>
        </is>
      </c>
      <c r="E342" t="inlineStr">
        <is>
          <t>SecuritySuite</t>
        </is>
      </c>
      <c r="F342" t="inlineStr">
        <is>
          <t>New License</t>
        </is>
      </c>
      <c r="G342" t="inlineStr">
        <is>
          <t>Luis Ortega</t>
        </is>
      </c>
      <c r="H342" t="n">
        <v>85894.66</v>
      </c>
      <c r="I342" t="inlineStr">
        <is>
          <t>USD</t>
        </is>
      </c>
    </row>
    <row r="343">
      <c r="A343" t="inlineStr">
        <is>
          <t>BK10116</t>
        </is>
      </c>
      <c r="B343" s="3" t="inlineStr">
        <is>
          <t>09/25/2024</t>
        </is>
      </c>
      <c r="C343" t="inlineStr">
        <is>
          <t>Customer 014</t>
        </is>
      </c>
      <c r="D343" t="inlineStr">
        <is>
          <t>south</t>
        </is>
      </c>
      <c r="E343" t="inlineStr">
        <is>
          <t>AnalyticsAddon</t>
        </is>
      </c>
      <c r="F343" t="inlineStr">
        <is>
          <t>Services</t>
        </is>
      </c>
      <c r="G343" t="inlineStr">
        <is>
          <t>Anna Kowalski</t>
        </is>
      </c>
      <c r="H343" t="n">
        <v>7429.36</v>
      </c>
      <c r="I343" t="inlineStr">
        <is>
          <t>CAD</t>
        </is>
      </c>
    </row>
    <row r="344">
      <c r="A344" t="inlineStr">
        <is>
          <t>BK10380</t>
        </is>
      </c>
      <c r="B344" s="4" t="n">
        <v>45602</v>
      </c>
      <c r="C344" t="inlineStr">
        <is>
          <t>Customer 108</t>
        </is>
      </c>
      <c r="D344" t="inlineStr">
        <is>
          <t>central</t>
        </is>
      </c>
      <c r="E344" t="inlineStr">
        <is>
          <t>CorePlatform</t>
        </is>
      </c>
      <c r="F344" t="inlineStr">
        <is>
          <t>Renewal</t>
        </is>
      </c>
      <c r="G344" t="inlineStr">
        <is>
          <t>Luis Ortega</t>
        </is>
      </c>
      <c r="H344" t="n">
        <v>26786.24</v>
      </c>
      <c r="I344" t="inlineStr">
        <is>
          <t>BRL</t>
        </is>
      </c>
    </row>
    <row r="345">
      <c r="A345" t="inlineStr">
        <is>
          <t>BK10388</t>
        </is>
      </c>
      <c r="B345" s="4" t="n">
        <v>45300</v>
      </c>
      <c r="C345" t="inlineStr">
        <is>
          <t>Customer 078</t>
        </is>
      </c>
      <c r="D345" t="inlineStr">
        <is>
          <t xml:space="preserve">west </t>
        </is>
      </c>
      <c r="E345" t="inlineStr">
        <is>
          <t>SecuritySuite</t>
        </is>
      </c>
      <c r="F345" t="inlineStr">
        <is>
          <t>Services</t>
        </is>
      </c>
      <c r="G345" t="inlineStr">
        <is>
          <t>Sara Cohen</t>
        </is>
      </c>
      <c r="H345" t="n">
        <v>161500.49</v>
      </c>
      <c r="I345" t="inlineStr">
        <is>
          <t>CAD</t>
        </is>
      </c>
    </row>
    <row r="346">
      <c r="A346" t="inlineStr">
        <is>
          <t>BK10084</t>
        </is>
      </c>
      <c r="B346" s="4" t="n">
        <v>45756</v>
      </c>
      <c r="C346" t="inlineStr">
        <is>
          <t>Customer 119</t>
        </is>
      </c>
      <c r="D346" t="inlineStr">
        <is>
          <t>east</t>
        </is>
      </c>
      <c r="E346" t="inlineStr">
        <is>
          <t>AnalyticsAddon</t>
        </is>
      </c>
      <c r="F346" t="inlineStr">
        <is>
          <t>Services</t>
        </is>
      </c>
      <c r="G346" t="inlineStr">
        <is>
          <t>John Smith</t>
        </is>
      </c>
      <c r="H346" t="n">
        <v>23315.41</v>
      </c>
      <c r="I346" t="inlineStr">
        <is>
          <t>USD</t>
        </is>
      </c>
    </row>
    <row r="347">
      <c r="A347" t="inlineStr">
        <is>
          <t>BK10096</t>
        </is>
      </c>
      <c r="B347" s="3" t="inlineStr">
        <is>
          <t>05/09/2025</t>
        </is>
      </c>
      <c r="C347" t="inlineStr">
        <is>
          <t>Customer 059</t>
        </is>
      </c>
      <c r="D347" t="inlineStr">
        <is>
          <t>south</t>
        </is>
      </c>
      <c r="E347" t="inlineStr">
        <is>
          <t>AnalyticsAddon</t>
        </is>
      </c>
      <c r="F347" t="inlineStr">
        <is>
          <t>Services</t>
        </is>
      </c>
      <c r="G347" t="inlineStr">
        <is>
          <t>Priya Sharma</t>
        </is>
      </c>
      <c r="H347" t="n">
        <v>36738.04</v>
      </c>
      <c r="I347" t="inlineStr">
        <is>
          <t>EUR</t>
        </is>
      </c>
    </row>
    <row r="348">
      <c r="A348" t="inlineStr">
        <is>
          <t>BK10183</t>
        </is>
      </c>
      <c r="B348" s="4" t="n">
        <v>45667</v>
      </c>
      <c r="C348" t="inlineStr">
        <is>
          <t>Customer 073</t>
        </is>
      </c>
      <c r="D348" t="inlineStr">
        <is>
          <t>Central</t>
        </is>
      </c>
      <c r="E348" t="inlineStr">
        <is>
          <t>AnalyticsAddon</t>
        </is>
      </c>
      <c r="F348" t="inlineStr">
        <is>
          <t>Services</t>
        </is>
      </c>
      <c r="G348" t="inlineStr">
        <is>
          <t>Luis Ortega</t>
        </is>
      </c>
      <c r="H348" t="n">
        <v>170941.76</v>
      </c>
      <c r="I348" t="inlineStr">
        <is>
          <t>USD</t>
        </is>
      </c>
    </row>
    <row r="349">
      <c r="A349" t="inlineStr">
        <is>
          <t>BK10090</t>
        </is>
      </c>
      <c r="B349" s="3" t="inlineStr">
        <is>
          <t>04/17/2024</t>
        </is>
      </c>
      <c r="C349" t="inlineStr">
        <is>
          <t>Customer 053</t>
        </is>
      </c>
      <c r="D349" t="inlineStr">
        <is>
          <t>West</t>
        </is>
      </c>
      <c r="E349" t="inlineStr">
        <is>
          <t>DataConnect</t>
        </is>
      </c>
      <c r="F349" t="inlineStr">
        <is>
          <t>Support</t>
        </is>
      </c>
      <c r="G349" t="inlineStr">
        <is>
          <t>Sara Cohen</t>
        </is>
      </c>
      <c r="H349" t="n">
        <v>120277.29</v>
      </c>
      <c r="I349" t="inlineStr">
        <is>
          <t>EUR</t>
        </is>
      </c>
    </row>
    <row r="350">
      <c r="A350" t="inlineStr">
        <is>
          <t>BK10175</t>
        </is>
      </c>
      <c r="B350" s="3" t="inlineStr">
        <is>
          <t>2025-05-05</t>
        </is>
      </c>
      <c r="C350" t="inlineStr">
        <is>
          <t>Customer 009</t>
        </is>
      </c>
      <c r="D350" t="inlineStr">
        <is>
          <t>West</t>
        </is>
      </c>
      <c r="E350" t="inlineStr">
        <is>
          <t>DataConnect</t>
        </is>
      </c>
      <c r="F350" t="inlineStr">
        <is>
          <t>New License</t>
        </is>
      </c>
      <c r="G350" t="inlineStr">
        <is>
          <t>Maria Garcia</t>
        </is>
      </c>
      <c r="H350" t="n">
        <v>54939.34</v>
      </c>
      <c r="I350" t="inlineStr">
        <is>
          <t>USD</t>
        </is>
      </c>
    </row>
    <row r="351">
      <c r="A351" t="inlineStr">
        <is>
          <t>BK10068</t>
        </is>
      </c>
      <c r="B351" s="4" t="n">
        <v>45722</v>
      </c>
      <c r="C351" t="inlineStr">
        <is>
          <t>Customer 056</t>
        </is>
      </c>
      <c r="D351" t="inlineStr">
        <is>
          <t>SOUTH</t>
        </is>
      </c>
      <c r="E351" t="inlineStr">
        <is>
          <t>DataConnect</t>
        </is>
      </c>
      <c r="F351" t="inlineStr">
        <is>
          <t>Renewal</t>
        </is>
      </c>
      <c r="G351" t="inlineStr">
        <is>
          <t>Priya Sharma</t>
        </is>
      </c>
      <c r="H351" t="n">
        <v>80081.22</v>
      </c>
      <c r="I351" t="inlineStr">
        <is>
          <t>INR</t>
        </is>
      </c>
    </row>
    <row r="352">
      <c r="A352" t="inlineStr">
        <is>
          <t>BK10398</t>
        </is>
      </c>
      <c r="B352" s="4" t="n">
        <v>45446</v>
      </c>
      <c r="C352" t="inlineStr">
        <is>
          <t>Customer 044</t>
        </is>
      </c>
      <c r="D352" t="inlineStr">
        <is>
          <t xml:space="preserve">west </t>
        </is>
      </c>
      <c r="E352" t="inlineStr">
        <is>
          <t>DataConnect</t>
        </is>
      </c>
      <c r="F352" t="inlineStr">
        <is>
          <t>Renewal</t>
        </is>
      </c>
      <c r="G352" t="inlineStr">
        <is>
          <t>Maria Garcia</t>
        </is>
      </c>
      <c r="H352" t="n">
        <v>58999.87</v>
      </c>
      <c r="I352" t="inlineStr">
        <is>
          <t>GBP</t>
        </is>
      </c>
    </row>
    <row r="353">
      <c r="A353" t="inlineStr">
        <is>
          <t>BK10172</t>
        </is>
      </c>
      <c r="B353" s="3" t="inlineStr">
        <is>
          <t>2024-03-28</t>
        </is>
      </c>
      <c r="C353" t="inlineStr">
        <is>
          <t>Customer 068</t>
        </is>
      </c>
      <c r="D353" t="inlineStr">
        <is>
          <t xml:space="preserve">Central </t>
        </is>
      </c>
      <c r="E353" t="inlineStr">
        <is>
          <t>CorePlatform</t>
        </is>
      </c>
      <c r="F353" t="inlineStr">
        <is>
          <t>Services</t>
        </is>
      </c>
      <c r="G353" t="inlineStr">
        <is>
          <t>Wei Chen</t>
        </is>
      </c>
      <c r="H353" t="n">
        <v>157579.66</v>
      </c>
      <c r="I353" t="inlineStr">
        <is>
          <t>USD</t>
        </is>
      </c>
    </row>
    <row r="354">
      <c r="A354" t="inlineStr">
        <is>
          <t>BK10268</t>
        </is>
      </c>
      <c r="B354" s="3" t="inlineStr">
        <is>
          <t>06/06/2024</t>
        </is>
      </c>
      <c r="C354" t="inlineStr">
        <is>
          <t>Customer 047</t>
        </is>
      </c>
      <c r="D354" t="inlineStr">
        <is>
          <t>South</t>
        </is>
      </c>
      <c r="E354" t="inlineStr">
        <is>
          <t>CorePlatform</t>
        </is>
      </c>
      <c r="F354" t="inlineStr">
        <is>
          <t>New License</t>
        </is>
      </c>
      <c r="G354" t="inlineStr">
        <is>
          <t>Anna Kowalski</t>
        </is>
      </c>
      <c r="H354" t="n">
        <v>169903.96</v>
      </c>
      <c r="I354" t="inlineStr">
        <is>
          <t>EUR</t>
        </is>
      </c>
    </row>
    <row r="355">
      <c r="A355" t="inlineStr">
        <is>
          <t>BK10305</t>
        </is>
      </c>
      <c r="B355" s="4" t="n">
        <v>45637</v>
      </c>
      <c r="C355" t="inlineStr">
        <is>
          <t>Customer 101</t>
        </is>
      </c>
      <c r="D355" t="inlineStr">
        <is>
          <t xml:space="preserve">west </t>
        </is>
      </c>
      <c r="E355" t="inlineStr">
        <is>
          <t>CorePlatform</t>
        </is>
      </c>
      <c r="F355" t="inlineStr">
        <is>
          <t>New License</t>
        </is>
      </c>
      <c r="G355" t="inlineStr">
        <is>
          <t>Sara Cohen</t>
        </is>
      </c>
      <c r="H355" t="n">
        <v>20624.73</v>
      </c>
      <c r="I355" t="inlineStr">
        <is>
          <t>INR</t>
        </is>
      </c>
    </row>
    <row r="356">
      <c r="A356" t="inlineStr">
        <is>
          <t>BK10266</t>
        </is>
      </c>
      <c r="B356" s="3" t="inlineStr">
        <is>
          <t>2024-10-06</t>
        </is>
      </c>
      <c r="C356" t="inlineStr">
        <is>
          <t>Customer 030</t>
        </is>
      </c>
      <c r="D356" t="inlineStr">
        <is>
          <t>SOUTH</t>
        </is>
      </c>
      <c r="E356" t="inlineStr">
        <is>
          <t>DataConnect</t>
        </is>
      </c>
      <c r="F356" t="inlineStr">
        <is>
          <t>Services</t>
        </is>
      </c>
      <c r="G356" t="inlineStr">
        <is>
          <t>Anna Kowalski</t>
        </is>
      </c>
      <c r="H356" t="n">
        <v>35875.6</v>
      </c>
      <c r="I356" t="inlineStr">
        <is>
          <t>EUR</t>
        </is>
      </c>
    </row>
    <row r="357">
      <c r="A357" t="inlineStr">
        <is>
          <t>BK10233</t>
        </is>
      </c>
      <c r="B357" s="3" t="inlineStr">
        <is>
          <t>02/29/2024</t>
        </is>
      </c>
      <c r="C357" t="inlineStr">
        <is>
          <t>Customer 093</t>
        </is>
      </c>
      <c r="D357" t="inlineStr">
        <is>
          <t>South</t>
        </is>
      </c>
      <c r="E357" t="inlineStr">
        <is>
          <t>DataConnect</t>
        </is>
      </c>
      <c r="F357" t="inlineStr">
        <is>
          <t>Support</t>
        </is>
      </c>
      <c r="G357" t="inlineStr">
        <is>
          <t>Anna Kowalski</t>
        </is>
      </c>
      <c r="H357" t="n">
        <v>147512.22</v>
      </c>
      <c r="I357" t="inlineStr">
        <is>
          <t>INR</t>
        </is>
      </c>
    </row>
    <row r="358">
      <c r="A358" t="inlineStr">
        <is>
          <t>BK10148</t>
        </is>
      </c>
      <c r="B358" s="3" t="inlineStr">
        <is>
          <t>2024-07-21</t>
        </is>
      </c>
      <c r="C358" t="inlineStr">
        <is>
          <t>Customer 098</t>
        </is>
      </c>
      <c r="D358" t="inlineStr">
        <is>
          <t>West</t>
        </is>
      </c>
      <c r="E358" t="inlineStr">
        <is>
          <t>CorePlatform</t>
        </is>
      </c>
      <c r="F358" t="inlineStr">
        <is>
          <t>Renewal</t>
        </is>
      </c>
      <c r="G358" t="inlineStr">
        <is>
          <t>Maria Garcia</t>
        </is>
      </c>
      <c r="H358" t="n">
        <v>171378.71</v>
      </c>
      <c r="I358" t="inlineStr">
        <is>
          <t>GBP</t>
        </is>
      </c>
    </row>
    <row r="359">
      <c r="A359" t="inlineStr">
        <is>
          <t>BK10152</t>
        </is>
      </c>
      <c r="B359" s="3" t="inlineStr">
        <is>
          <t>02/12/2024</t>
        </is>
      </c>
      <c r="C359" t="inlineStr">
        <is>
          <t>Customer 042</t>
        </is>
      </c>
      <c r="D359" t="inlineStr">
        <is>
          <t>south</t>
        </is>
      </c>
      <c r="E359" t="inlineStr">
        <is>
          <t>DataConnect</t>
        </is>
      </c>
      <c r="F359" t="inlineStr">
        <is>
          <t>Renewal</t>
        </is>
      </c>
      <c r="G359" t="inlineStr">
        <is>
          <t>Priya Sharma</t>
        </is>
      </c>
      <c r="H359" t="n">
        <v>172516.86</v>
      </c>
      <c r="I359" t="inlineStr">
        <is>
          <t>EUR</t>
        </is>
      </c>
    </row>
    <row r="360">
      <c r="A360" t="inlineStr">
        <is>
          <t>BK10023</t>
        </is>
      </c>
      <c r="B360" s="3" t="inlineStr">
        <is>
          <t>2024-05-23</t>
        </is>
      </c>
      <c r="C360" t="inlineStr">
        <is>
          <t>Customer 036</t>
        </is>
      </c>
      <c r="D360" t="inlineStr">
        <is>
          <t>SOUTH</t>
        </is>
      </c>
      <c r="E360" t="inlineStr">
        <is>
          <t>AnalyticsAddon</t>
        </is>
      </c>
      <c r="F360" t="inlineStr">
        <is>
          <t>New License</t>
        </is>
      </c>
      <c r="G360" t="inlineStr">
        <is>
          <t>Priya Sharma</t>
        </is>
      </c>
      <c r="H360" t="n">
        <v>81434.14</v>
      </c>
      <c r="I360" t="inlineStr">
        <is>
          <t>CAD</t>
        </is>
      </c>
    </row>
    <row r="361">
      <c r="A361" t="inlineStr">
        <is>
          <t>BK10033</t>
        </is>
      </c>
      <c r="B361" s="3" t="inlineStr">
        <is>
          <t>2025-06-25</t>
        </is>
      </c>
      <c r="C361" t="inlineStr">
        <is>
          <t>Customer 120</t>
        </is>
      </c>
      <c r="D361" t="inlineStr">
        <is>
          <t>East</t>
        </is>
      </c>
      <c r="E361" t="inlineStr">
        <is>
          <t>AnalyticsAddon</t>
        </is>
      </c>
      <c r="F361" t="inlineStr">
        <is>
          <t>Support</t>
        </is>
      </c>
      <c r="G361" t="inlineStr">
        <is>
          <t>Tom Becker</t>
        </is>
      </c>
      <c r="H361" t="n">
        <v>23430.87</v>
      </c>
      <c r="I361" t="inlineStr">
        <is>
          <t>USD</t>
        </is>
      </c>
    </row>
    <row r="362">
      <c r="A362" t="inlineStr">
        <is>
          <t>BK10085</t>
        </is>
      </c>
      <c r="B362" s="4" t="n">
        <v>45444</v>
      </c>
      <c r="C362" t="inlineStr">
        <is>
          <t>Customer 010</t>
        </is>
      </c>
      <c r="D362" t="inlineStr">
        <is>
          <t>Central</t>
        </is>
      </c>
      <c r="E362" t="inlineStr">
        <is>
          <t>AnalyticsAddon</t>
        </is>
      </c>
      <c r="F362" t="inlineStr">
        <is>
          <t>Support</t>
        </is>
      </c>
      <c r="G362" t="inlineStr">
        <is>
          <t>Wei Chen</t>
        </is>
      </c>
      <c r="H362" t="n">
        <v>108322.79</v>
      </c>
      <c r="I362" t="inlineStr">
        <is>
          <t>INR</t>
        </is>
      </c>
    </row>
    <row r="363">
      <c r="A363" t="inlineStr">
        <is>
          <t>BK10156</t>
        </is>
      </c>
      <c r="B363" s="3" t="inlineStr">
        <is>
          <t>06/02/2024</t>
        </is>
      </c>
      <c r="C363" t="inlineStr">
        <is>
          <t>Customer 075</t>
        </is>
      </c>
      <c r="D363" t="inlineStr">
        <is>
          <t xml:space="preserve">Central </t>
        </is>
      </c>
      <c r="E363" t="inlineStr">
        <is>
          <t>AnalyticsAddon</t>
        </is>
      </c>
      <c r="F363" t="inlineStr">
        <is>
          <t>Support</t>
        </is>
      </c>
      <c r="G363" t="inlineStr">
        <is>
          <t>Wei Chen</t>
        </is>
      </c>
      <c r="H363" t="n">
        <v>57911.02</v>
      </c>
      <c r="I363" t="inlineStr">
        <is>
          <t>GBP</t>
        </is>
      </c>
    </row>
    <row r="364">
      <c r="A364" t="inlineStr">
        <is>
          <t>BK10301</t>
        </is>
      </c>
      <c r="B364" s="4" t="n">
        <v>45427</v>
      </c>
      <c r="C364" t="inlineStr">
        <is>
          <t>Customer 092</t>
        </is>
      </c>
      <c r="D364" t="inlineStr">
        <is>
          <t xml:space="preserve">west </t>
        </is>
      </c>
      <c r="E364" t="inlineStr">
        <is>
          <t>AnalyticsAddon</t>
        </is>
      </c>
      <c r="F364" t="inlineStr">
        <is>
          <t>Services</t>
        </is>
      </c>
      <c r="G364" t="inlineStr">
        <is>
          <t>Maria Garcia</t>
        </is>
      </c>
      <c r="H364" t="n">
        <v>89634.19</v>
      </c>
      <c r="I364" t="inlineStr">
        <is>
          <t>EUR</t>
        </is>
      </c>
    </row>
    <row r="365">
      <c r="A365" t="inlineStr">
        <is>
          <t>BK10257</t>
        </is>
      </c>
      <c r="B365" s="4" t="n">
        <v>45309</v>
      </c>
      <c r="C365" t="inlineStr">
        <is>
          <t>Customer 003</t>
        </is>
      </c>
      <c r="D365" t="inlineStr">
        <is>
          <t xml:space="preserve">Central </t>
        </is>
      </c>
      <c r="E365" t="inlineStr">
        <is>
          <t>DataConnect</t>
        </is>
      </c>
      <c r="F365" t="inlineStr">
        <is>
          <t>Renewal</t>
        </is>
      </c>
      <c r="G365" t="inlineStr">
        <is>
          <t>Luis Ortega</t>
        </is>
      </c>
      <c r="H365" t="n">
        <v>21941.91</v>
      </c>
      <c r="I365" t="inlineStr">
        <is>
          <t>USD</t>
        </is>
      </c>
    </row>
    <row r="366">
      <c r="A366" t="inlineStr">
        <is>
          <t>BK10385</t>
        </is>
      </c>
      <c r="B366" s="4" t="n">
        <v>45792</v>
      </c>
      <c r="C366" t="inlineStr">
        <is>
          <t>Customer 112</t>
        </is>
      </c>
      <c r="D366" t="inlineStr">
        <is>
          <t>SOUTH</t>
        </is>
      </c>
      <c r="E366" t="inlineStr">
        <is>
          <t>SecuritySuite</t>
        </is>
      </c>
      <c r="F366" t="inlineStr">
        <is>
          <t>Support</t>
        </is>
      </c>
      <c r="G366" t="inlineStr">
        <is>
          <t>Priya Sharma</t>
        </is>
      </c>
      <c r="H366" t="n">
        <v>31941.91</v>
      </c>
      <c r="I366" t="inlineStr">
        <is>
          <t>CAD</t>
        </is>
      </c>
    </row>
    <row r="367">
      <c r="A367" t="inlineStr">
        <is>
          <t>BK10052</t>
        </is>
      </c>
      <c r="B367" s="4" t="n">
        <v>45297</v>
      </c>
      <c r="C367" t="inlineStr">
        <is>
          <t>Customer 029</t>
        </is>
      </c>
      <c r="D367" t="inlineStr">
        <is>
          <t xml:space="preserve">East </t>
        </is>
      </c>
      <c r="E367" t="inlineStr">
        <is>
          <t>DataConnect</t>
        </is>
      </c>
      <c r="F367" t="inlineStr">
        <is>
          <t>New License</t>
        </is>
      </c>
      <c r="G367" t="inlineStr">
        <is>
          <t>Tom Becker</t>
        </is>
      </c>
      <c r="H367" t="n">
        <v>101660.83</v>
      </c>
      <c r="I367" t="inlineStr">
        <is>
          <t>CAD</t>
        </is>
      </c>
    </row>
    <row r="368">
      <c r="A368" t="inlineStr">
        <is>
          <t>BK10393</t>
        </is>
      </c>
      <c r="B368" s="4" t="n">
        <v>45720</v>
      </c>
      <c r="C368" t="inlineStr">
        <is>
          <t>Customer 095</t>
        </is>
      </c>
      <c r="D368" t="inlineStr">
        <is>
          <t>South</t>
        </is>
      </c>
      <c r="E368" t="inlineStr">
        <is>
          <t>AnalyticsAddon</t>
        </is>
      </c>
      <c r="F368" t="inlineStr">
        <is>
          <t>Support</t>
        </is>
      </c>
      <c r="G368" t="inlineStr">
        <is>
          <t>Anna Kowalski</t>
        </is>
      </c>
      <c r="H368" t="n">
        <v>131599.33</v>
      </c>
      <c r="I368" t="inlineStr">
        <is>
          <t>USD</t>
        </is>
      </c>
    </row>
    <row r="369">
      <c r="A369" t="inlineStr">
        <is>
          <t>BK10159</t>
        </is>
      </c>
      <c r="B369" s="3" t="inlineStr">
        <is>
          <t>12/15/2024</t>
        </is>
      </c>
      <c r="C369" t="inlineStr">
        <is>
          <t>Customer 029</t>
        </is>
      </c>
      <c r="D369" t="inlineStr">
        <is>
          <t>South</t>
        </is>
      </c>
      <c r="E369" t="inlineStr">
        <is>
          <t>AnalyticsAddon</t>
        </is>
      </c>
      <c r="F369" t="inlineStr">
        <is>
          <t>New License</t>
        </is>
      </c>
      <c r="G369" t="inlineStr">
        <is>
          <t>Priya Sharma</t>
        </is>
      </c>
      <c r="H369" t="n">
        <v>55355.2</v>
      </c>
      <c r="I369" t="inlineStr">
        <is>
          <t>INR</t>
        </is>
      </c>
    </row>
    <row r="370">
      <c r="A370" t="inlineStr">
        <is>
          <t>BK10176</t>
        </is>
      </c>
      <c r="B370" s="3" t="inlineStr">
        <is>
          <t>07/23/2024</t>
        </is>
      </c>
      <c r="C370" t="inlineStr">
        <is>
          <t>Customer 120</t>
        </is>
      </c>
      <c r="D370" t="inlineStr">
        <is>
          <t>east</t>
        </is>
      </c>
      <c r="E370" t="inlineStr">
        <is>
          <t>DataConnect</t>
        </is>
      </c>
      <c r="F370" t="inlineStr">
        <is>
          <t>Services</t>
        </is>
      </c>
      <c r="G370" t="inlineStr">
        <is>
          <t>Tom Becker</t>
        </is>
      </c>
      <c r="H370" t="n">
        <v>47836.54</v>
      </c>
      <c r="I370" t="inlineStr">
        <is>
          <t>INR</t>
        </is>
      </c>
    </row>
    <row r="371">
      <c r="A371" t="inlineStr">
        <is>
          <t>BK10355</t>
        </is>
      </c>
      <c r="B371" s="3" t="inlineStr">
        <is>
          <t>05/25/2024</t>
        </is>
      </c>
      <c r="C371" t="inlineStr">
        <is>
          <t>Customer 010</t>
        </is>
      </c>
      <c r="D371" t="inlineStr">
        <is>
          <t>east</t>
        </is>
      </c>
      <c r="E371" t="inlineStr">
        <is>
          <t>DataConnect</t>
        </is>
      </c>
      <c r="F371" t="inlineStr">
        <is>
          <t>New License</t>
        </is>
      </c>
      <c r="G371" t="inlineStr">
        <is>
          <t>Tom Becker</t>
        </is>
      </c>
      <c r="H371" t="n">
        <v>62571.31</v>
      </c>
      <c r="I371" t="inlineStr">
        <is>
          <t>USD</t>
        </is>
      </c>
    </row>
    <row r="372">
      <c r="A372" t="inlineStr">
        <is>
          <t>BK10115</t>
        </is>
      </c>
      <c r="B372" s="3" t="inlineStr">
        <is>
          <t>08/19/2024</t>
        </is>
      </c>
      <c r="C372" t="inlineStr">
        <is>
          <t>Customer 012</t>
        </is>
      </c>
      <c r="D372" t="inlineStr">
        <is>
          <t>SOUTH</t>
        </is>
      </c>
      <c r="E372" t="inlineStr">
        <is>
          <t>CorePlatform</t>
        </is>
      </c>
      <c r="F372" t="inlineStr">
        <is>
          <t>Support</t>
        </is>
      </c>
      <c r="G372" t="inlineStr">
        <is>
          <t>Anna Kowalski</t>
        </is>
      </c>
      <c r="H372" t="n">
        <v>97973.3</v>
      </c>
      <c r="I372" t="inlineStr">
        <is>
          <t>EUR</t>
        </is>
      </c>
    </row>
    <row r="373">
      <c r="A373" t="inlineStr">
        <is>
          <t>BK10127</t>
        </is>
      </c>
      <c r="B373" s="4" t="n">
        <v>45336</v>
      </c>
      <c r="C373" t="inlineStr">
        <is>
          <t>Customer 083</t>
        </is>
      </c>
      <c r="D373" t="inlineStr">
        <is>
          <t>Central</t>
        </is>
      </c>
      <c r="E373" t="inlineStr">
        <is>
          <t>CorePlatform</t>
        </is>
      </c>
      <c r="F373" t="inlineStr">
        <is>
          <t>Services</t>
        </is>
      </c>
      <c r="G373" t="inlineStr">
        <is>
          <t>Luis Ortega</t>
        </is>
      </c>
      <c r="H373" t="n">
        <v>152971.84</v>
      </c>
      <c r="I373" t="inlineStr">
        <is>
          <t>EUR</t>
        </is>
      </c>
    </row>
    <row r="374">
      <c r="A374" t="inlineStr">
        <is>
          <t>BK10320</t>
        </is>
      </c>
      <c r="B374" s="3" t="inlineStr">
        <is>
          <t>06/05/2024</t>
        </is>
      </c>
      <c r="C374" t="inlineStr">
        <is>
          <t>Customer 040</t>
        </is>
      </c>
      <c r="D374" t="inlineStr">
        <is>
          <t>Central</t>
        </is>
      </c>
      <c r="E374" t="inlineStr">
        <is>
          <t>AnalyticsAddon</t>
        </is>
      </c>
      <c r="F374" t="inlineStr">
        <is>
          <t>Renewal</t>
        </is>
      </c>
      <c r="G374" t="inlineStr">
        <is>
          <t>Wei Chen</t>
        </is>
      </c>
      <c r="H374" t="n">
        <v>97941.06</v>
      </c>
      <c r="I374" t="inlineStr">
        <is>
          <t>USD</t>
        </is>
      </c>
    </row>
    <row r="375">
      <c r="A375" t="inlineStr">
        <is>
          <t>BK10384</t>
        </is>
      </c>
      <c r="B375" s="3" t="inlineStr">
        <is>
          <t>2025-01-04</t>
        </is>
      </c>
      <c r="C375" t="inlineStr">
        <is>
          <t>Customer 048</t>
        </is>
      </c>
      <c r="D375" t="inlineStr">
        <is>
          <t xml:space="preserve">west </t>
        </is>
      </c>
      <c r="E375" t="inlineStr">
        <is>
          <t>DataConnect</t>
        </is>
      </c>
      <c r="F375" t="inlineStr">
        <is>
          <t>New License</t>
        </is>
      </c>
      <c r="G375" t="inlineStr">
        <is>
          <t>Sara Cohen</t>
        </is>
      </c>
      <c r="H375" t="n">
        <v>123567.86</v>
      </c>
      <c r="I375" t="inlineStr">
        <is>
          <t>USD</t>
        </is>
      </c>
    </row>
    <row r="376">
      <c r="A376" t="inlineStr">
        <is>
          <t>BK10346</t>
        </is>
      </c>
      <c r="B376" s="3" t="inlineStr">
        <is>
          <t>06/01/2024</t>
        </is>
      </c>
      <c r="C376" t="inlineStr">
        <is>
          <t>Customer 083</t>
        </is>
      </c>
      <c r="D376" t="inlineStr">
        <is>
          <t>east</t>
        </is>
      </c>
      <c r="E376" t="inlineStr">
        <is>
          <t>DataConnect</t>
        </is>
      </c>
      <c r="F376" t="inlineStr">
        <is>
          <t>Services</t>
        </is>
      </c>
      <c r="G376" t="inlineStr">
        <is>
          <t>John Smith</t>
        </is>
      </c>
      <c r="H376" t="n">
        <v>159251.81</v>
      </c>
      <c r="I376" t="inlineStr">
        <is>
          <t>EUR</t>
        </is>
      </c>
    </row>
    <row r="377">
      <c r="A377" t="inlineStr">
        <is>
          <t>BK10009</t>
        </is>
      </c>
      <c r="B377" s="4" t="n">
        <v>45614</v>
      </c>
      <c r="C377" t="inlineStr">
        <is>
          <t>Customer 051</t>
        </is>
      </c>
      <c r="D377" t="inlineStr">
        <is>
          <t>West</t>
        </is>
      </c>
      <c r="E377" t="inlineStr">
        <is>
          <t>DataConnect</t>
        </is>
      </c>
      <c r="F377" t="inlineStr">
        <is>
          <t>Renewal</t>
        </is>
      </c>
      <c r="G377" t="inlineStr">
        <is>
          <t>Sara Cohen</t>
        </is>
      </c>
      <c r="H377" t="n">
        <v>49883.79</v>
      </c>
      <c r="I377" t="inlineStr">
        <is>
          <t>USD</t>
        </is>
      </c>
    </row>
    <row r="378">
      <c r="A378" t="inlineStr">
        <is>
          <t>BK10097</t>
        </is>
      </c>
      <c r="B378" s="4" t="n">
        <v>45431</v>
      </c>
      <c r="C378" t="inlineStr">
        <is>
          <t>Customer 099</t>
        </is>
      </c>
      <c r="D378" t="inlineStr">
        <is>
          <t>EAST</t>
        </is>
      </c>
      <c r="E378" t="inlineStr">
        <is>
          <t>SecuritySuite</t>
        </is>
      </c>
      <c r="F378" t="inlineStr">
        <is>
          <t>Support</t>
        </is>
      </c>
      <c r="G378" t="inlineStr">
        <is>
          <t>Tom Becker</t>
        </is>
      </c>
      <c r="H378" t="n">
        <v>148237.26</v>
      </c>
      <c r="I378" t="inlineStr">
        <is>
          <t>USD</t>
        </is>
      </c>
    </row>
    <row r="379">
      <c r="A379" t="inlineStr">
        <is>
          <t>BK10271</t>
        </is>
      </c>
      <c r="B379" s="4" t="n">
        <v>45378</v>
      </c>
      <c r="C379" t="inlineStr">
        <is>
          <t>Customer 088</t>
        </is>
      </c>
      <c r="D379" t="inlineStr">
        <is>
          <t xml:space="preserve">west </t>
        </is>
      </c>
      <c r="E379" t="inlineStr">
        <is>
          <t>AnalyticsAddon</t>
        </is>
      </c>
      <c r="F379" t="inlineStr">
        <is>
          <t>Renewal</t>
        </is>
      </c>
      <c r="G379" t="inlineStr">
        <is>
          <t>Maria Garcia</t>
        </is>
      </c>
      <c r="H379" t="n">
        <v>50598.66</v>
      </c>
      <c r="I379" t="inlineStr">
        <is>
          <t>USD</t>
        </is>
      </c>
    </row>
    <row r="380">
      <c r="A380" t="inlineStr">
        <is>
          <t>BK10164</t>
        </is>
      </c>
      <c r="B380" s="4" t="n">
        <v>45433</v>
      </c>
      <c r="C380" t="inlineStr">
        <is>
          <t>Customer 083</t>
        </is>
      </c>
      <c r="D380" t="inlineStr">
        <is>
          <t>central</t>
        </is>
      </c>
      <c r="E380" t="inlineStr">
        <is>
          <t>SecuritySuite</t>
        </is>
      </c>
      <c r="F380" t="inlineStr">
        <is>
          <t>New License</t>
        </is>
      </c>
      <c r="G380" t="inlineStr">
        <is>
          <t>Wei Chen</t>
        </is>
      </c>
      <c r="H380" t="n">
        <v>128917.97</v>
      </c>
      <c r="I380" t="inlineStr">
        <is>
          <t>EUR</t>
        </is>
      </c>
    </row>
    <row r="381">
      <c r="A381" t="inlineStr">
        <is>
          <t>BK10007</t>
        </is>
      </c>
      <c r="B381" s="3" t="inlineStr">
        <is>
          <t>09/30/2024</t>
        </is>
      </c>
      <c r="C381" t="inlineStr">
        <is>
          <t>Customer 069</t>
        </is>
      </c>
      <c r="D381" t="inlineStr">
        <is>
          <t xml:space="preserve">East </t>
        </is>
      </c>
      <c r="E381" t="inlineStr">
        <is>
          <t>AnalyticsAddon</t>
        </is>
      </c>
      <c r="F381" t="inlineStr">
        <is>
          <t>Services</t>
        </is>
      </c>
      <c r="G381" t="inlineStr">
        <is>
          <t>John Smith</t>
        </is>
      </c>
      <c r="H381" t="n">
        <v>70163.61</v>
      </c>
      <c r="I381" t="inlineStr">
        <is>
          <t>BRL</t>
        </is>
      </c>
    </row>
    <row r="382">
      <c r="A382" t="inlineStr">
        <is>
          <t>BK10191</t>
        </is>
      </c>
      <c r="B382" s="3" t="inlineStr">
        <is>
          <t>2025-04-05</t>
        </is>
      </c>
      <c r="C382" t="inlineStr">
        <is>
          <t>Customer 017</t>
        </is>
      </c>
      <c r="D382" t="inlineStr">
        <is>
          <t>south</t>
        </is>
      </c>
      <c r="E382" t="inlineStr">
        <is>
          <t>AnalyticsAddon</t>
        </is>
      </c>
      <c r="F382" t="inlineStr">
        <is>
          <t>Renewal</t>
        </is>
      </c>
      <c r="G382" t="inlineStr">
        <is>
          <t>Anna Kowalski</t>
        </is>
      </c>
      <c r="H382" t="n">
        <v>79573.44</v>
      </c>
      <c r="I382" t="inlineStr">
        <is>
          <t>CAD</t>
        </is>
      </c>
    </row>
    <row r="383">
      <c r="A383" t="inlineStr">
        <is>
          <t>BK10374</t>
        </is>
      </c>
      <c r="B383" s="3" t="inlineStr">
        <is>
          <t>05/09/2024</t>
        </is>
      </c>
      <c r="C383" t="inlineStr">
        <is>
          <t>Customer 011</t>
        </is>
      </c>
      <c r="D383" t="inlineStr">
        <is>
          <t>EAST</t>
        </is>
      </c>
      <c r="E383" t="inlineStr">
        <is>
          <t>AnalyticsAddon</t>
        </is>
      </c>
      <c r="F383" t="inlineStr">
        <is>
          <t>Renewal</t>
        </is>
      </c>
      <c r="G383" t="inlineStr">
        <is>
          <t>Tom Becker</t>
        </is>
      </c>
      <c r="H383" t="n">
        <v>150637.14</v>
      </c>
      <c r="I383" t="inlineStr">
        <is>
          <t>USD</t>
        </is>
      </c>
    </row>
    <row r="384">
      <c r="A384" t="inlineStr">
        <is>
          <t>BK10102</t>
        </is>
      </c>
      <c r="B384" s="3" t="inlineStr">
        <is>
          <t>2024-06-07</t>
        </is>
      </c>
      <c r="C384" t="inlineStr">
        <is>
          <t>Customer 101</t>
        </is>
      </c>
      <c r="D384" t="inlineStr">
        <is>
          <t>east</t>
        </is>
      </c>
      <c r="E384" t="inlineStr">
        <is>
          <t>SecuritySuite</t>
        </is>
      </c>
      <c r="F384" t="inlineStr">
        <is>
          <t>Services</t>
        </is>
      </c>
      <c r="G384" t="inlineStr">
        <is>
          <t>Tom Becker</t>
        </is>
      </c>
      <c r="H384" t="n">
        <v>118021.09</v>
      </c>
      <c r="I384" t="inlineStr">
        <is>
          <t>CAD</t>
        </is>
      </c>
    </row>
    <row r="385">
      <c r="A385" t="inlineStr">
        <is>
          <t>BK10273</t>
        </is>
      </c>
      <c r="B385" s="3" t="inlineStr">
        <is>
          <t>09/14/2024</t>
        </is>
      </c>
      <c r="C385" t="inlineStr">
        <is>
          <t>Customer 077</t>
        </is>
      </c>
      <c r="D385" t="inlineStr">
        <is>
          <t>West</t>
        </is>
      </c>
      <c r="E385" t="inlineStr">
        <is>
          <t>AnalyticsAddon</t>
        </is>
      </c>
      <c r="F385" t="inlineStr">
        <is>
          <t>Services</t>
        </is>
      </c>
      <c r="G385" t="inlineStr">
        <is>
          <t>Sara Cohen</t>
        </is>
      </c>
      <c r="H385" t="n">
        <v>21934.11</v>
      </c>
      <c r="I385" t="inlineStr">
        <is>
          <t>USD</t>
        </is>
      </c>
    </row>
    <row r="386">
      <c r="A386" t="inlineStr">
        <is>
          <t>BK10019</t>
        </is>
      </c>
      <c r="B386" s="4" t="n">
        <v>45352</v>
      </c>
      <c r="C386" t="inlineStr">
        <is>
          <t>Customer 116</t>
        </is>
      </c>
      <c r="D386" t="inlineStr">
        <is>
          <t>West</t>
        </is>
      </c>
      <c r="E386" t="inlineStr">
        <is>
          <t>SecuritySuite</t>
        </is>
      </c>
      <c r="F386" t="inlineStr">
        <is>
          <t>New License</t>
        </is>
      </c>
      <c r="G386" t="inlineStr">
        <is>
          <t>Maria Garcia</t>
        </is>
      </c>
      <c r="H386" t="n">
        <v>94005.63</v>
      </c>
      <c r="I386" t="inlineStr">
        <is>
          <t>USD</t>
        </is>
      </c>
    </row>
    <row r="387">
      <c r="A387" t="inlineStr">
        <is>
          <t>BK10002</t>
        </is>
      </c>
      <c r="B387" s="3" t="inlineStr">
        <is>
          <t>2024-07-22</t>
        </is>
      </c>
      <c r="C387" t="inlineStr">
        <is>
          <t>Customer 058</t>
        </is>
      </c>
      <c r="D387" t="inlineStr">
        <is>
          <t>south</t>
        </is>
      </c>
      <c r="E387" t="inlineStr">
        <is>
          <t>SecuritySuite</t>
        </is>
      </c>
      <c r="F387" t="inlineStr">
        <is>
          <t>New License</t>
        </is>
      </c>
      <c r="G387" t="inlineStr">
        <is>
          <t>Priya Sharma</t>
        </is>
      </c>
      <c r="H387" t="n">
        <v>137308.9</v>
      </c>
      <c r="I387" t="inlineStr">
        <is>
          <t>USD</t>
        </is>
      </c>
    </row>
    <row r="388">
      <c r="A388" t="inlineStr">
        <is>
          <t>BK10196</t>
        </is>
      </c>
      <c r="B388" s="3" t="inlineStr">
        <is>
          <t>10/23/2024</t>
        </is>
      </c>
      <c r="C388" t="inlineStr">
        <is>
          <t>Customer 032</t>
        </is>
      </c>
      <c r="D388" t="inlineStr">
        <is>
          <t xml:space="preserve">Central </t>
        </is>
      </c>
      <c r="E388" t="inlineStr">
        <is>
          <t>DataConnect</t>
        </is>
      </c>
      <c r="F388" t="inlineStr">
        <is>
          <t>Support</t>
        </is>
      </c>
      <c r="G388" t="inlineStr">
        <is>
          <t>Luis Ortega</t>
        </is>
      </c>
      <c r="H388" t="n">
        <v>83277.31</v>
      </c>
      <c r="I388" t="inlineStr">
        <is>
          <t>GBP</t>
        </is>
      </c>
    </row>
    <row r="389">
      <c r="A389" t="inlineStr">
        <is>
          <t>BK10244</t>
        </is>
      </c>
      <c r="B389" s="3" t="inlineStr">
        <is>
          <t>2024-07-07</t>
        </is>
      </c>
      <c r="C389" t="inlineStr">
        <is>
          <t>Customer 109</t>
        </is>
      </c>
      <c r="D389" t="inlineStr">
        <is>
          <t>South</t>
        </is>
      </c>
      <c r="E389" t="inlineStr">
        <is>
          <t>SecuritySuite</t>
        </is>
      </c>
      <c r="F389" t="inlineStr">
        <is>
          <t>Renewal</t>
        </is>
      </c>
      <c r="G389" t="inlineStr">
        <is>
          <t>Priya Sharma</t>
        </is>
      </c>
      <c r="H389" t="n">
        <v>145622.38</v>
      </c>
      <c r="I389" t="inlineStr">
        <is>
          <t>CAD</t>
        </is>
      </c>
    </row>
    <row r="390">
      <c r="A390" t="inlineStr">
        <is>
          <t>BK10210</t>
        </is>
      </c>
      <c r="B390" s="3" t="inlineStr">
        <is>
          <t>04/22/2024</t>
        </is>
      </c>
      <c r="C390" t="inlineStr">
        <is>
          <t>Customer 057</t>
        </is>
      </c>
      <c r="D390" t="inlineStr">
        <is>
          <t xml:space="preserve">west </t>
        </is>
      </c>
      <c r="E390" t="inlineStr">
        <is>
          <t>DataConnect</t>
        </is>
      </c>
      <c r="F390" t="inlineStr">
        <is>
          <t>Renewal</t>
        </is>
      </c>
      <c r="G390" t="inlineStr">
        <is>
          <t>Maria Garcia</t>
        </is>
      </c>
      <c r="H390" t="n">
        <v>76093.94</v>
      </c>
      <c r="I390" t="inlineStr">
        <is>
          <t>USD</t>
        </is>
      </c>
    </row>
    <row r="391">
      <c r="A391" t="inlineStr">
        <is>
          <t>BK10206</t>
        </is>
      </c>
      <c r="B391" s="3" t="inlineStr">
        <is>
          <t>12/07/2024</t>
        </is>
      </c>
      <c r="C391" t="inlineStr">
        <is>
          <t>Customer 020</t>
        </is>
      </c>
      <c r="D391" t="inlineStr">
        <is>
          <t>south</t>
        </is>
      </c>
      <c r="E391" t="inlineStr">
        <is>
          <t>AnalyticsAddon</t>
        </is>
      </c>
      <c r="F391" t="inlineStr">
        <is>
          <t>Support</t>
        </is>
      </c>
      <c r="G391" t="inlineStr">
        <is>
          <t>Anna Kowalski</t>
        </is>
      </c>
      <c r="H391" t="n">
        <v>167852.27</v>
      </c>
      <c r="I391" t="inlineStr">
        <is>
          <t>USD</t>
        </is>
      </c>
    </row>
    <row r="392">
      <c r="A392" t="inlineStr">
        <is>
          <t>BK10219</t>
        </is>
      </c>
      <c r="B392" s="4" t="n">
        <v>45297</v>
      </c>
      <c r="C392" t="inlineStr">
        <is>
          <t>Customer 084</t>
        </is>
      </c>
      <c r="D392" t="inlineStr">
        <is>
          <t xml:space="preserve">west </t>
        </is>
      </c>
      <c r="E392" t="inlineStr">
        <is>
          <t>DataConnect</t>
        </is>
      </c>
      <c r="F392" t="inlineStr">
        <is>
          <t>Renewal</t>
        </is>
      </c>
      <c r="G392" t="inlineStr">
        <is>
          <t>Sara Cohen</t>
        </is>
      </c>
      <c r="H392" t="n">
        <v>136796.26</v>
      </c>
      <c r="I392" t="inlineStr">
        <is>
          <t>USD</t>
        </is>
      </c>
    </row>
    <row r="393">
      <c r="A393" t="inlineStr">
        <is>
          <t>BK10324</t>
        </is>
      </c>
      <c r="B393" s="3" t="inlineStr">
        <is>
          <t>10/02/2024</t>
        </is>
      </c>
      <c r="C393" t="inlineStr">
        <is>
          <t>Customer 043</t>
        </is>
      </c>
      <c r="D393" t="inlineStr">
        <is>
          <t>EAST</t>
        </is>
      </c>
      <c r="E393" t="inlineStr">
        <is>
          <t>SecuritySuite</t>
        </is>
      </c>
      <c r="F393" t="inlineStr">
        <is>
          <t>New License</t>
        </is>
      </c>
      <c r="G393" t="inlineStr">
        <is>
          <t>John Smith</t>
        </is>
      </c>
      <c r="H393" t="n">
        <v>49542.09</v>
      </c>
      <c r="I393" t="inlineStr">
        <is>
          <t>BRL</t>
        </is>
      </c>
    </row>
    <row r="394">
      <c r="A394" t="inlineStr">
        <is>
          <t>BK10222</t>
        </is>
      </c>
      <c r="B394" s="3" t="inlineStr">
        <is>
          <t>2024-04-19</t>
        </is>
      </c>
      <c r="C394" t="inlineStr">
        <is>
          <t>Customer 059</t>
        </is>
      </c>
      <c r="D394" t="inlineStr">
        <is>
          <t xml:space="preserve">Central </t>
        </is>
      </c>
      <c r="E394" t="inlineStr">
        <is>
          <t>DataConnect</t>
        </is>
      </c>
      <c r="F394" t="inlineStr">
        <is>
          <t>Renewal</t>
        </is>
      </c>
      <c r="G394" t="inlineStr">
        <is>
          <t>Luis Ortega</t>
        </is>
      </c>
      <c r="H394" t="n">
        <v>153637.57</v>
      </c>
      <c r="I394" t="inlineStr">
        <is>
          <t>EUR</t>
        </is>
      </c>
    </row>
    <row r="395">
      <c r="A395" t="inlineStr">
        <is>
          <t>BK10314</t>
        </is>
      </c>
      <c r="B395" s="3" t="inlineStr">
        <is>
          <t>01/28/2025</t>
        </is>
      </c>
      <c r="C395" t="inlineStr">
        <is>
          <t>Customer 041</t>
        </is>
      </c>
      <c r="D395" t="inlineStr">
        <is>
          <t>Central</t>
        </is>
      </c>
      <c r="E395" t="inlineStr">
        <is>
          <t>AnalyticsAddon</t>
        </is>
      </c>
      <c r="F395" t="inlineStr">
        <is>
          <t>Support</t>
        </is>
      </c>
      <c r="G395" t="inlineStr">
        <is>
          <t>Luis Ortega</t>
        </is>
      </c>
      <c r="H395" t="n">
        <v>117097.84</v>
      </c>
      <c r="I395" t="inlineStr">
        <is>
          <t>USD</t>
        </is>
      </c>
    </row>
    <row r="396">
      <c r="A396" t="inlineStr">
        <is>
          <t>BK10066</t>
        </is>
      </c>
      <c r="B396" s="4" t="n">
        <v>45676</v>
      </c>
      <c r="C396" t="inlineStr">
        <is>
          <t>Customer 010</t>
        </is>
      </c>
      <c r="D396" t="inlineStr">
        <is>
          <t>south</t>
        </is>
      </c>
      <c r="E396" t="inlineStr">
        <is>
          <t>AnalyticsAddon</t>
        </is>
      </c>
      <c r="F396" t="inlineStr">
        <is>
          <t>New License</t>
        </is>
      </c>
      <c r="G396" t="inlineStr">
        <is>
          <t>Priya Sharma</t>
        </is>
      </c>
      <c r="H396" t="n">
        <v>126403.16</v>
      </c>
      <c r="I396" t="inlineStr">
        <is>
          <t>USD</t>
        </is>
      </c>
    </row>
    <row r="397">
      <c r="A397" t="inlineStr">
        <is>
          <t>BK10045</t>
        </is>
      </c>
      <c r="B397" s="3" t="inlineStr">
        <is>
          <t>2024-02-15</t>
        </is>
      </c>
      <c r="C397" t="inlineStr">
        <is>
          <t>Customer 067</t>
        </is>
      </c>
      <c r="D397" t="inlineStr">
        <is>
          <t>south</t>
        </is>
      </c>
      <c r="E397" t="inlineStr">
        <is>
          <t>AnalyticsAddon</t>
        </is>
      </c>
      <c r="F397" t="inlineStr">
        <is>
          <t>Support</t>
        </is>
      </c>
      <c r="G397" t="inlineStr">
        <is>
          <t>Priya Sharma</t>
        </is>
      </c>
      <c r="H397" t="n">
        <v>79339.64</v>
      </c>
      <c r="I397" t="inlineStr">
        <is>
          <t>BRL</t>
        </is>
      </c>
    </row>
    <row r="398">
      <c r="A398" t="inlineStr">
        <is>
          <t>BK10390</t>
        </is>
      </c>
      <c r="B398" s="3" t="inlineStr">
        <is>
          <t>01/18/2025</t>
        </is>
      </c>
      <c r="C398" t="inlineStr">
        <is>
          <t>Customer 088</t>
        </is>
      </c>
      <c r="D398" t="inlineStr">
        <is>
          <t>Central</t>
        </is>
      </c>
      <c r="E398" t="inlineStr">
        <is>
          <t>DataConnect</t>
        </is>
      </c>
      <c r="F398" t="inlineStr">
        <is>
          <t>New License</t>
        </is>
      </c>
      <c r="G398" t="inlineStr">
        <is>
          <t>Luis Ortega</t>
        </is>
      </c>
      <c r="H398" t="n">
        <v>62522.21</v>
      </c>
      <c r="I398" t="inlineStr">
        <is>
          <t>USD</t>
        </is>
      </c>
    </row>
    <row r="399">
      <c r="A399" t="inlineStr">
        <is>
          <t>BK10250</t>
        </is>
      </c>
      <c r="B399" s="4" t="n">
        <v>45559</v>
      </c>
      <c r="C399" t="inlineStr">
        <is>
          <t>Customer 060</t>
        </is>
      </c>
      <c r="D399" t="inlineStr">
        <is>
          <t>Central</t>
        </is>
      </c>
      <c r="E399" t="inlineStr">
        <is>
          <t>DataConnect</t>
        </is>
      </c>
      <c r="F399" t="inlineStr">
        <is>
          <t>Support</t>
        </is>
      </c>
      <c r="G399" t="inlineStr">
        <is>
          <t>Luis Ortega</t>
        </is>
      </c>
      <c r="H399" t="n">
        <v>164836.5</v>
      </c>
      <c r="I399" t="inlineStr">
        <is>
          <t>USD</t>
        </is>
      </c>
    </row>
    <row r="400">
      <c r="A400" t="inlineStr">
        <is>
          <t>BK10081</t>
        </is>
      </c>
      <c r="B400" s="4" t="n">
        <v>45718</v>
      </c>
      <c r="C400" t="inlineStr">
        <is>
          <t>Customer 058</t>
        </is>
      </c>
      <c r="D400" t="inlineStr">
        <is>
          <t xml:space="preserve">west </t>
        </is>
      </c>
      <c r="E400" t="inlineStr">
        <is>
          <t>SecuritySuite</t>
        </is>
      </c>
      <c r="F400" t="inlineStr">
        <is>
          <t>Services</t>
        </is>
      </c>
      <c r="G400" t="inlineStr">
        <is>
          <t>Sara Cohen</t>
        </is>
      </c>
      <c r="H400" t="n">
        <v>57052.3</v>
      </c>
      <c r="I400" t="inlineStr">
        <is>
          <t>GBP</t>
        </is>
      </c>
    </row>
    <row r="401">
      <c r="A401" t="inlineStr">
        <is>
          <t>BK10391</t>
        </is>
      </c>
      <c r="B401" s="3" t="inlineStr">
        <is>
          <t>2024-11-28</t>
        </is>
      </c>
      <c r="C401" t="inlineStr">
        <is>
          <t>Customer 084</t>
        </is>
      </c>
      <c r="D401" t="inlineStr">
        <is>
          <t xml:space="preserve">Central </t>
        </is>
      </c>
      <c r="E401" t="inlineStr">
        <is>
          <t>SecuritySuite</t>
        </is>
      </c>
      <c r="F401" t="inlineStr">
        <is>
          <t>Renewal</t>
        </is>
      </c>
      <c r="G401" t="inlineStr">
        <is>
          <t>Luis Ortega</t>
        </is>
      </c>
      <c r="H401" t="n">
        <v>29537.49</v>
      </c>
      <c r="I401" t="inlineStr">
        <is>
          <t>INR</t>
        </is>
      </c>
    </row>
    <row r="402">
      <c r="A402" t="inlineStr">
        <is>
          <t>BK10295</t>
        </is>
      </c>
      <c r="B402" s="3" t="inlineStr">
        <is>
          <t>10/22/2024</t>
        </is>
      </c>
      <c r="C402" t="inlineStr">
        <is>
          <t>Customer 073</t>
        </is>
      </c>
      <c r="D402" t="inlineStr">
        <is>
          <t>West</t>
        </is>
      </c>
      <c r="E402" t="inlineStr">
        <is>
          <t>DataConnect</t>
        </is>
      </c>
      <c r="F402" t="inlineStr">
        <is>
          <t>New License</t>
        </is>
      </c>
      <c r="G402" t="inlineStr">
        <is>
          <t>Sara Cohen</t>
        </is>
      </c>
      <c r="H402" t="n">
        <v>104370.39</v>
      </c>
      <c r="I402" t="inlineStr">
        <is>
          <t>USD</t>
        </is>
      </c>
    </row>
    <row r="403">
      <c r="A403" t="inlineStr">
        <is>
          <t>BK10086</t>
        </is>
      </c>
      <c r="B403" s="4" t="n">
        <v>45587</v>
      </c>
      <c r="C403" t="inlineStr">
        <is>
          <t>Customer 060</t>
        </is>
      </c>
      <c r="D403" t="inlineStr">
        <is>
          <t>south</t>
        </is>
      </c>
      <c r="E403" t="inlineStr">
        <is>
          <t>SecuritySuite</t>
        </is>
      </c>
      <c r="F403" t="inlineStr">
        <is>
          <t>Services</t>
        </is>
      </c>
      <c r="G403" t="inlineStr">
        <is>
          <t>Priya Sharma</t>
        </is>
      </c>
      <c r="H403" t="n">
        <v>169853.69</v>
      </c>
      <c r="I403" t="inlineStr">
        <is>
          <t>EUR</t>
        </is>
      </c>
    </row>
    <row r="404">
      <c r="A404" t="inlineStr">
        <is>
          <t>BK10396</t>
        </is>
      </c>
      <c r="B404" s="3" t="inlineStr">
        <is>
          <t>2025-03-06</t>
        </is>
      </c>
      <c r="C404" t="inlineStr">
        <is>
          <t>Customer 034</t>
        </is>
      </c>
      <c r="D404" t="inlineStr">
        <is>
          <t xml:space="preserve">Central </t>
        </is>
      </c>
      <c r="E404" t="inlineStr">
        <is>
          <t>SecuritySuite</t>
        </is>
      </c>
      <c r="F404" t="inlineStr">
        <is>
          <t>Services</t>
        </is>
      </c>
      <c r="G404" t="inlineStr">
        <is>
          <t>Luis Ortega</t>
        </is>
      </c>
      <c r="H404" t="n">
        <v>153664.86</v>
      </c>
      <c r="I404" t="inlineStr">
        <is>
          <t>EUR</t>
        </is>
      </c>
    </row>
    <row r="405">
      <c r="A405" t="inlineStr">
        <is>
          <t>BK10389</t>
        </is>
      </c>
      <c r="B405" s="4" t="n">
        <v>45762</v>
      </c>
      <c r="C405" t="inlineStr">
        <is>
          <t>Customer 060</t>
        </is>
      </c>
      <c r="D405" t="inlineStr">
        <is>
          <t>central</t>
        </is>
      </c>
      <c r="E405" t="inlineStr">
        <is>
          <t>DataConnect</t>
        </is>
      </c>
      <c r="F405" t="inlineStr">
        <is>
          <t>New License</t>
        </is>
      </c>
      <c r="G405" t="inlineStr">
        <is>
          <t>Wei Chen</t>
        </is>
      </c>
      <c r="H405" t="n">
        <v>4300.52</v>
      </c>
      <c r="I405" t="inlineStr">
        <is>
          <t>BRL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Currency</t>
        </is>
      </c>
      <c r="B1" s="2" t="inlineStr">
        <is>
          <t>Rate to USD</t>
        </is>
      </c>
      <c r="C1" s="2" t="inlineStr">
        <is>
          <t>Effective Date</t>
        </is>
      </c>
      <c r="D1" s="2" t="inlineStr">
        <is>
          <t>Source</t>
        </is>
      </c>
    </row>
    <row r="2">
      <c r="A2" t="inlineStr">
        <is>
          <t>USD</t>
        </is>
      </c>
      <c r="B2" t="n">
        <v>1</v>
      </c>
      <c r="C2" s="3" t="n">
        <v>45292</v>
      </c>
      <c r="D2" t="inlineStr">
        <is>
          <t>Finance rate card</t>
        </is>
      </c>
      <c r="F2" t="inlineStr">
        <is>
          <t>Priya updates rates on the 1st. DO NOT TOUCH!!</t>
        </is>
      </c>
    </row>
    <row r="3">
      <c r="A3" t="inlineStr">
        <is>
          <t>EUR</t>
        </is>
      </c>
      <c r="B3" t="n">
        <v>1.09</v>
      </c>
      <c r="C3" s="3" t="n">
        <v>45292</v>
      </c>
      <c r="D3" t="inlineStr">
        <is>
          <t>Finance rate card</t>
        </is>
      </c>
    </row>
    <row r="4">
      <c r="A4" t="inlineStr">
        <is>
          <t>GBP</t>
        </is>
      </c>
      <c r="B4" t="n">
        <v>1.28</v>
      </c>
      <c r="C4" s="3" t="n">
        <v>45292</v>
      </c>
      <c r="D4" t="inlineStr">
        <is>
          <t>Finance rate card</t>
        </is>
      </c>
      <c r="F4" t="inlineStr">
        <is>
          <t>TODO: add BRL when Brazil deals close (ask Finance)</t>
        </is>
      </c>
    </row>
    <row r="5">
      <c r="A5" t="inlineStr">
        <is>
          <t>INR</t>
        </is>
      </c>
      <c r="B5" t="n">
        <v>0.012</v>
      </c>
      <c r="C5" s="3" t="n">
        <v>45292</v>
      </c>
      <c r="D5" t="inlineStr">
        <is>
          <t>Finance rate card</t>
        </is>
      </c>
    </row>
    <row r="6">
      <c r="A6" t="inlineStr">
        <is>
          <t>CAD</t>
        </is>
      </c>
      <c r="B6" t="n">
        <v>0.74</v>
      </c>
      <c r="C6" s="3" t="n">
        <v>45292</v>
      </c>
      <c r="D6" t="inlineStr">
        <is>
          <t>Finance rate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 ID</t>
        </is>
      </c>
      <c r="B1" s="2" t="inlineStr">
        <is>
          <t>Sales Rep</t>
        </is>
      </c>
      <c r="C1" s="2" t="inlineStr">
        <is>
          <t>Target Year</t>
        </is>
      </c>
      <c r="D1" s="2" t="inlineStr">
        <is>
          <t>Annual Quota (USD)</t>
        </is>
      </c>
    </row>
    <row r="2">
      <c r="A2" t="inlineStr">
        <is>
          <t>REP001</t>
        </is>
      </c>
      <c r="B2" t="inlineStr">
        <is>
          <t>Jon Smith</t>
        </is>
      </c>
      <c r="C2" t="n">
        <v>2024</v>
      </c>
      <c r="D2" t="n">
        <v>1400000</v>
      </c>
    </row>
    <row r="3">
      <c r="A3" t="inlineStr">
        <is>
          <t>REP002</t>
        </is>
      </c>
      <c r="B3" t="inlineStr">
        <is>
          <t>Maria Garcia</t>
        </is>
      </c>
      <c r="C3" t="n">
        <v>2024</v>
      </c>
      <c r="D3" t="n">
        <v>1250000</v>
      </c>
    </row>
    <row r="4">
      <c r="A4" t="inlineStr">
        <is>
          <t>REP003</t>
        </is>
      </c>
      <c r="B4" t="inlineStr">
        <is>
          <t>Wei Chen</t>
        </is>
      </c>
      <c r="C4" t="n">
        <v>2024</v>
      </c>
      <c r="D4" t="n">
        <v>900000</v>
      </c>
    </row>
    <row r="5">
      <c r="A5" t="inlineStr">
        <is>
          <t>REP004</t>
        </is>
      </c>
      <c r="B5" t="inlineStr">
        <is>
          <t>Priya Sharma</t>
        </is>
      </c>
      <c r="C5" t="n">
        <v>2024</v>
      </c>
      <c r="D5" t="n">
        <v>1400000</v>
      </c>
    </row>
    <row r="6">
      <c r="A6" t="inlineStr">
        <is>
          <t>REP005</t>
        </is>
      </c>
      <c r="B6" t="inlineStr">
        <is>
          <t>Tom Becker</t>
        </is>
      </c>
      <c r="C6" t="n">
        <v>2024</v>
      </c>
      <c r="D6" t="n">
        <v>1100000</v>
      </c>
    </row>
    <row r="7">
      <c r="A7" t="inlineStr">
        <is>
          <t>REP006</t>
        </is>
      </c>
      <c r="B7" t="inlineStr">
        <is>
          <t>Sara Cohen</t>
        </is>
      </c>
      <c r="C7" t="n">
        <v>2024</v>
      </c>
      <c r="D7" t="n">
        <v>1250000</v>
      </c>
    </row>
    <row r="8">
      <c r="A8" t="inlineStr">
        <is>
          <t>REP007</t>
        </is>
      </c>
      <c r="B8" t="inlineStr">
        <is>
          <t>Luis Ortega</t>
        </is>
      </c>
      <c r="C8" t="n">
        <v>2024</v>
      </c>
      <c r="D8" t="n">
        <v>1400000</v>
      </c>
    </row>
    <row r="9">
      <c r="A9" t="inlineStr">
        <is>
          <t>REP008</t>
        </is>
      </c>
      <c r="B9" t="inlineStr">
        <is>
          <t>Ana Kowalski</t>
        </is>
      </c>
      <c r="C9" t="n">
        <v>2024</v>
      </c>
      <c r="D9" t="n">
        <v>1100000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Alias Name</t>
        </is>
      </c>
      <c r="B1" s="2" t="inlineStr">
        <is>
          <t>Canonical Name</t>
        </is>
      </c>
      <c r="C1" s="2" t="inlineStr">
        <is>
          <t>Rep ID</t>
        </is>
      </c>
      <c r="D1" s="2" t="inlineStr">
        <is>
          <t>Region</t>
        </is>
      </c>
    </row>
    <row r="2">
      <c r="A2" t="inlineStr">
        <is>
          <t>John Smith</t>
        </is>
      </c>
      <c r="B2" t="inlineStr">
        <is>
          <t>John Smith</t>
        </is>
      </c>
      <c r="C2" t="inlineStr">
        <is>
          <t>REP001</t>
        </is>
      </c>
      <c r="D2" t="inlineStr">
        <is>
          <t>East</t>
        </is>
      </c>
    </row>
    <row r="3">
      <c r="A3" t="inlineStr">
        <is>
          <t>Jon Smith</t>
        </is>
      </c>
      <c r="B3" t="inlineStr">
        <is>
          <t>John Smith</t>
        </is>
      </c>
      <c r="C3" t="inlineStr">
        <is>
          <t>REP001</t>
        </is>
      </c>
      <c r="D3" t="inlineStr">
        <is>
          <t>East</t>
        </is>
      </c>
    </row>
    <row r="4">
      <c r="A4" t="inlineStr">
        <is>
          <t>Maria Garcia</t>
        </is>
      </c>
      <c r="B4" t="inlineStr">
        <is>
          <t>Maria Garcia</t>
        </is>
      </c>
      <c r="C4" t="inlineStr">
        <is>
          <t>REP002</t>
        </is>
      </c>
      <c r="D4" t="inlineStr">
        <is>
          <t>West</t>
        </is>
      </c>
    </row>
    <row r="5">
      <c r="A5" t="inlineStr">
        <is>
          <t>Wei Chen</t>
        </is>
      </c>
      <c r="B5" t="inlineStr">
        <is>
          <t>Wei Chen</t>
        </is>
      </c>
      <c r="C5" t="inlineStr">
        <is>
          <t>REP003</t>
        </is>
      </c>
      <c r="D5" t="inlineStr">
        <is>
          <t>Central</t>
        </is>
      </c>
    </row>
    <row r="6">
      <c r="A6" t="inlineStr">
        <is>
          <t>Priya Sharma</t>
        </is>
      </c>
      <c r="B6" t="inlineStr">
        <is>
          <t>Priya Sharma</t>
        </is>
      </c>
      <c r="C6" t="inlineStr">
        <is>
          <t>REP004</t>
        </is>
      </c>
      <c r="D6" t="inlineStr">
        <is>
          <t>South</t>
        </is>
      </c>
    </row>
    <row r="7">
      <c r="A7" t="inlineStr">
        <is>
          <t>Tom Becker</t>
        </is>
      </c>
      <c r="B7" t="inlineStr">
        <is>
          <t>Tom Becker</t>
        </is>
      </c>
      <c r="C7" t="inlineStr">
        <is>
          <t>REP005</t>
        </is>
      </c>
      <c r="D7" t="inlineStr">
        <is>
          <t>East</t>
        </is>
      </c>
    </row>
    <row r="8">
      <c r="A8" t="inlineStr">
        <is>
          <t>Sara Cohen</t>
        </is>
      </c>
      <c r="B8" t="inlineStr">
        <is>
          <t>Sara Cohen</t>
        </is>
      </c>
      <c r="C8" t="inlineStr">
        <is>
          <t>REP006</t>
        </is>
      </c>
      <c r="D8" t="inlineStr">
        <is>
          <t>West</t>
        </is>
      </c>
    </row>
    <row r="9">
      <c r="A9" t="inlineStr">
        <is>
          <t>Luis Ortega</t>
        </is>
      </c>
      <c r="B9" t="inlineStr">
        <is>
          <t>Luis Ortega</t>
        </is>
      </c>
      <c r="C9" t="inlineStr">
        <is>
          <t>REP007</t>
        </is>
      </c>
      <c r="D9" t="inlineStr">
        <is>
          <t>Central</t>
        </is>
      </c>
    </row>
    <row r="10">
      <c r="A10" t="inlineStr">
        <is>
          <t>Anna Kowalski</t>
        </is>
      </c>
      <c r="B10" t="inlineStr">
        <is>
          <t>Anna Kowalski</t>
        </is>
      </c>
      <c r="C10" t="inlineStr">
        <is>
          <t>REP008</t>
        </is>
      </c>
      <c r="D10" t="inlineStr">
        <is>
          <t>South</t>
        </is>
      </c>
    </row>
    <row r="11">
      <c r="A11" t="inlineStr">
        <is>
          <t>Ana Kowalski</t>
        </is>
      </c>
      <c r="B11" t="inlineStr">
        <is>
          <t>Anna Kowalski</t>
        </is>
      </c>
      <c r="C11" t="inlineStr">
        <is>
          <t>REP008</t>
        </is>
      </c>
      <c r="D11" t="inlineStr">
        <is>
          <t>South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0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BookingID</t>
        </is>
      </c>
      <c r="B1" s="5" t="inlineStr">
        <is>
          <t>Clean Region</t>
        </is>
      </c>
      <c r="C1" s="5" t="inlineStr">
        <is>
          <t>Amount USD</t>
        </is>
      </c>
      <c r="D1" s="5" t="inlineStr">
        <is>
          <t>Deal Category</t>
        </is>
      </c>
      <c r="E1" s="5" t="inlineStr">
        <is>
          <t>Rep ID</t>
        </is>
      </c>
      <c r="F1" s="5" t="inlineStr">
        <is>
          <t>Rep Quota</t>
        </is>
      </c>
      <c r="G1" s="5" t="inlineStr">
        <is>
          <t>Attainment Status</t>
        </is>
      </c>
      <c r="H1" s="5" t="inlineStr">
        <is>
          <t>Adjusted USD</t>
        </is>
      </c>
      <c r="I1" s="5" t="inlineStr">
        <is>
          <t>Adjustment ID</t>
        </is>
      </c>
      <c r="J1" s="5" t="inlineStr">
        <is>
          <t>Adjustment Source</t>
        </is>
      </c>
    </row>
    <row r="2">
      <c r="A2">
        <f>Raw_Bookings!A3</f>
        <v/>
      </c>
      <c r="B2">
        <f>IF(TRIM(LOWER(Raw_Bookings!D3))="east","East",IF(TRIM(LOWER(Raw_Bookings!D3))="west","West",IF(TRIM(LOWER(Raw_Bookings!D3))="central","Central",IF(TRIM(LOWER(Raw_Bookings!D3))="south","South","UNKNOWN"))))</f>
        <v/>
      </c>
      <c r="C2">
        <f>IFERROR(Raw_Bookings!H3*VLOOKUP(Raw_Bookings!I3,Rates!$A$2:$B$6,2,FALSE),Raw_Bookings!H3)</f>
        <v/>
      </c>
      <c r="D2">
        <f>IF(Raw_Bookings!F3="New License","NEW",IF(OR(Raw_Bookings!F3="Renewal",Raw_Bookings!F3="Support"),"RECURRING","OTHER"))</f>
        <v/>
      </c>
      <c r="E2">
        <f>IFERROR(VLOOKUP(Raw_Bookings!G3,Rep_Master!$A$2:$D$18,3,FALSE),"")</f>
        <v/>
      </c>
      <c r="F2">
        <f>IFERROR(VLOOKUP(E2,Rep_Targets!$A$2:$D$9,4,FALSE),0)</f>
        <v/>
      </c>
      <c r="G2">
        <f>IF(F2=0,"NO QUOTA FOUND",IF(C2&gt;=F2*0.25,"On Track","Behind"))</f>
        <v/>
      </c>
      <c r="H2">
        <f>C2*IF(B2="West",0.95,1)</f>
        <v/>
      </c>
    </row>
    <row r="3">
      <c r="A3">
        <f>Raw_Bookings!A4</f>
        <v/>
      </c>
      <c r="B3">
        <f>IF(TRIM(LOWER(Raw_Bookings!D4))="east","East",IF(TRIM(LOWER(Raw_Bookings!D4))="west","West",IF(TRIM(LOWER(Raw_Bookings!D4))="central","Central",IF(TRIM(LOWER(Raw_Bookings!D4))="south","South","UNKNOWN"))))</f>
        <v/>
      </c>
      <c r="C3">
        <f>IFERROR(Raw_Bookings!H4*VLOOKUP(Raw_Bookings!I4,Rates!$A$2:$B$6,2,FALSE),Raw_Bookings!H4)</f>
        <v/>
      </c>
      <c r="D3">
        <f>IF(Raw_Bookings!F4="New License","NEW",IF(OR(Raw_Bookings!F4="Renewal",Raw_Bookings!F4="Support"),"RECURRING","OTHER"))</f>
        <v/>
      </c>
      <c r="E3">
        <f>IFERROR(VLOOKUP(Raw_Bookings!G4,Rep_Master!$A$2:$D$18,3,FALSE),"")</f>
        <v/>
      </c>
      <c r="F3">
        <f>IFERROR(VLOOKUP(E3,Rep_Targets!$A$2:$D$9,4,FALSE),0)</f>
        <v/>
      </c>
      <c r="G3">
        <f>IF(F3=0,"NO QUOTA FOUND",IF(C3&gt;=F3*0.25,"On Track","Behind"))</f>
        <v/>
      </c>
      <c r="H3">
        <f>C3*IF(B3="West",0.95,1)</f>
        <v/>
      </c>
    </row>
    <row r="4">
      <c r="A4">
        <f>Raw_Bookings!A5</f>
        <v/>
      </c>
      <c r="B4">
        <f>IF(TRIM(LOWER(Raw_Bookings!D5))="east","East",IF(TRIM(LOWER(Raw_Bookings!D5))="west","West",IF(TRIM(LOWER(Raw_Bookings!D5))="central","Central",IF(TRIM(LOWER(Raw_Bookings!D5))="south","South","UNKNOWN"))))</f>
        <v/>
      </c>
      <c r="C4">
        <f>IFERROR(Raw_Bookings!H5*VLOOKUP(Raw_Bookings!I5,Rates!$A$2:$B$6,2,FALSE),Raw_Bookings!H5)</f>
        <v/>
      </c>
      <c r="D4">
        <f>IF(Raw_Bookings!F5="New License","NEW",IF(OR(Raw_Bookings!F5="Renewal",Raw_Bookings!F5="Support"),"RECURRING","OTHER"))</f>
        <v/>
      </c>
      <c r="E4">
        <f>IFERROR(VLOOKUP(Raw_Bookings!G5,Rep_Master!$A$2:$D$18,3,FALSE),"")</f>
        <v/>
      </c>
      <c r="F4">
        <f>IFERROR(VLOOKUP(E4,Rep_Targets!$A$2:$D$9,4,FALSE),0)</f>
        <v/>
      </c>
      <c r="G4">
        <f>IF(F4=0,"NO QUOTA FOUND",IF(C4&gt;=F4*0.25,"On Track","Behind"))</f>
        <v/>
      </c>
      <c r="H4">
        <f>C4*IF(B4="West",0.95,1)</f>
        <v/>
      </c>
    </row>
    <row r="5">
      <c r="A5">
        <f>Raw_Bookings!A6</f>
        <v/>
      </c>
      <c r="B5">
        <f>IF(TRIM(LOWER(Raw_Bookings!D6))="east","East",IF(TRIM(LOWER(Raw_Bookings!D6))="west","West",IF(TRIM(LOWER(Raw_Bookings!D6))="central","Central",IF(TRIM(LOWER(Raw_Bookings!D6))="south","South","UNKNOWN"))))</f>
        <v/>
      </c>
      <c r="C5">
        <f>IFERROR(Raw_Bookings!H6*VLOOKUP(Raw_Bookings!I6,Rates!$A$2:$B$6,2,FALSE),Raw_Bookings!H6)</f>
        <v/>
      </c>
      <c r="D5">
        <f>IF(Raw_Bookings!F6="New License","NEW",IF(OR(Raw_Bookings!F6="Renewal",Raw_Bookings!F6="Support"),"RECURRING","OTHER"))</f>
        <v/>
      </c>
      <c r="E5">
        <f>IFERROR(VLOOKUP(Raw_Bookings!G6,Rep_Master!$A$2:$D$18,3,FALSE),"")</f>
        <v/>
      </c>
      <c r="F5">
        <f>IFERROR(VLOOKUP(E5,Rep_Targets!$A$2:$D$9,4,FALSE),0)</f>
        <v/>
      </c>
      <c r="G5">
        <f>IF(F5=0,"NO QUOTA FOUND",IF(C5&gt;=F5*0.25,"On Track","Behind"))</f>
        <v/>
      </c>
      <c r="H5">
        <f>C5*IF(B5="West",0.95,1)</f>
        <v/>
      </c>
    </row>
    <row r="6">
      <c r="A6">
        <f>Raw_Bookings!A7</f>
        <v/>
      </c>
      <c r="B6">
        <f>IF(TRIM(LOWER(Raw_Bookings!D7))="east","East",IF(TRIM(LOWER(Raw_Bookings!D7))="west","West",IF(TRIM(LOWER(Raw_Bookings!D7))="central","Central",IF(TRIM(LOWER(Raw_Bookings!D7))="south","South","UNKNOWN"))))</f>
        <v/>
      </c>
      <c r="C6">
        <f>IFERROR(Raw_Bookings!H7*VLOOKUP(Raw_Bookings!I7,Rates!$A$2:$B$6,2,FALSE),Raw_Bookings!H7)</f>
        <v/>
      </c>
      <c r="D6">
        <f>IF(Raw_Bookings!F7="New License","NEW",IF(OR(Raw_Bookings!F7="Renewal",Raw_Bookings!F7="Support"),"RECURRING","OTHER"))</f>
        <v/>
      </c>
      <c r="E6">
        <f>IFERROR(VLOOKUP(Raw_Bookings!G7,Rep_Master!$A$2:$D$18,3,FALSE),"")</f>
        <v/>
      </c>
      <c r="F6">
        <f>IFERROR(VLOOKUP(E6,Rep_Targets!$A$2:$D$9,4,FALSE),0)</f>
        <v/>
      </c>
      <c r="G6">
        <f>IF(F6=0,"NO QUOTA FOUND",IF(C6&gt;=F6*0.25,"On Track","Behind"))</f>
        <v/>
      </c>
      <c r="H6">
        <f>C6*IF(B6="West",0.95,1)</f>
        <v/>
      </c>
    </row>
    <row r="7">
      <c r="A7">
        <f>Raw_Bookings!A8</f>
        <v/>
      </c>
      <c r="B7">
        <f>IF(TRIM(LOWER(Raw_Bookings!D8))="east","East",IF(TRIM(LOWER(Raw_Bookings!D8))="west","West",IF(TRIM(LOWER(Raw_Bookings!D8))="central","Central",IF(TRIM(LOWER(Raw_Bookings!D8))="south","South","UNKNOWN"))))</f>
        <v/>
      </c>
      <c r="C7">
        <f>IFERROR(Raw_Bookings!H8*VLOOKUP(Raw_Bookings!I8,Rates!$A$2:$B$6,2,FALSE),Raw_Bookings!H8)</f>
        <v/>
      </c>
      <c r="D7">
        <f>IF(Raw_Bookings!F8="New License","NEW",IF(OR(Raw_Bookings!F8="Renewal",Raw_Bookings!F8="Support"),"RECURRING","OTHER"))</f>
        <v/>
      </c>
      <c r="E7">
        <f>IFERROR(VLOOKUP(Raw_Bookings!G8,Rep_Master!$A$2:$D$18,3,FALSE),"")</f>
        <v/>
      </c>
      <c r="F7">
        <f>IFERROR(VLOOKUP(E7,Rep_Targets!$A$2:$D$9,4,FALSE),0)</f>
        <v/>
      </c>
      <c r="G7">
        <f>IF(F7=0,"NO QUOTA FOUND",IF(C7&gt;=F7*0.25,"On Track","Behind"))</f>
        <v/>
      </c>
      <c r="H7">
        <f>C7*IF(B7="West",0.95,1)</f>
        <v/>
      </c>
    </row>
    <row r="8">
      <c r="A8">
        <f>Raw_Bookings!A9</f>
        <v/>
      </c>
      <c r="B8">
        <f>IF(TRIM(LOWER(Raw_Bookings!D9))="east","East",IF(TRIM(LOWER(Raw_Bookings!D9))="west","West",IF(TRIM(LOWER(Raw_Bookings!D9))="central","Central",IF(TRIM(LOWER(Raw_Bookings!D9))="south","South","UNKNOWN"))))</f>
        <v/>
      </c>
      <c r="C8">
        <f>IFERROR(Raw_Bookings!H9*VLOOKUP(Raw_Bookings!I9,Rates!$A$2:$B$6,2,FALSE),Raw_Bookings!H9)</f>
        <v/>
      </c>
      <c r="D8">
        <f>IF(Raw_Bookings!F9="New License","NEW",IF(OR(Raw_Bookings!F9="Renewal",Raw_Bookings!F9="Support"),"RECURRING","OTHER"))</f>
        <v/>
      </c>
      <c r="E8">
        <f>IFERROR(VLOOKUP(Raw_Bookings!G9,Rep_Master!$A$2:$D$18,3,FALSE),"")</f>
        <v/>
      </c>
      <c r="F8">
        <f>IFERROR(VLOOKUP(E8,Rep_Targets!$A$2:$D$9,4,FALSE),0)</f>
        <v/>
      </c>
      <c r="G8">
        <f>IF(F8=0,"NO QUOTA FOUND",IF(C8&gt;=F8*0.25,"On Track","Behind"))</f>
        <v/>
      </c>
      <c r="H8">
        <f>C8*IF(B8="West",0.95,1)</f>
        <v/>
      </c>
    </row>
    <row r="9">
      <c r="A9">
        <f>Raw_Bookings!A10</f>
        <v/>
      </c>
      <c r="B9">
        <f>IF(TRIM(LOWER(Raw_Bookings!D10))="east","East",IF(TRIM(LOWER(Raw_Bookings!D10))="west","West",IF(TRIM(LOWER(Raw_Bookings!D10))="central","Central",IF(TRIM(LOWER(Raw_Bookings!D10))="south","South","UNKNOWN"))))</f>
        <v/>
      </c>
      <c r="C9">
        <f>IFERROR(Raw_Bookings!H10*VLOOKUP(Raw_Bookings!I10,Rates!$A$2:$B$6,2,FALSE),Raw_Bookings!H10)</f>
        <v/>
      </c>
      <c r="D9">
        <f>IF(Raw_Bookings!F10="New License","NEW",IF(OR(Raw_Bookings!F10="Renewal",Raw_Bookings!F10="Support"),"RECURRING","OTHER"))</f>
        <v/>
      </c>
      <c r="E9">
        <f>IFERROR(VLOOKUP(Raw_Bookings!G10,Rep_Master!$A$2:$D$18,3,FALSE),"")</f>
        <v/>
      </c>
      <c r="F9">
        <f>IFERROR(VLOOKUP(E9,Rep_Targets!$A$2:$D$9,4,FALSE),0)</f>
        <v/>
      </c>
      <c r="G9">
        <f>IF(F9=0,"NO QUOTA FOUND",IF(C9&gt;=F9*0.25,"On Track","Behind"))</f>
        <v/>
      </c>
      <c r="H9">
        <f>C9*IF(B9="West",0.95,1)</f>
        <v/>
      </c>
    </row>
    <row r="10">
      <c r="A10">
        <f>Raw_Bookings!A11</f>
        <v/>
      </c>
      <c r="B10">
        <f>IF(TRIM(LOWER(Raw_Bookings!D11))="east","East",IF(TRIM(LOWER(Raw_Bookings!D11))="west","West",IF(TRIM(LOWER(Raw_Bookings!D11))="central","Central",IF(TRIM(LOWER(Raw_Bookings!D11))="south","South","UNKNOWN"))))</f>
        <v/>
      </c>
      <c r="C10">
        <f>IFERROR(Raw_Bookings!H11*VLOOKUP(Raw_Bookings!I11,Rates!$A$2:$B$6,2,FALSE),Raw_Bookings!H11)</f>
        <v/>
      </c>
      <c r="D10">
        <f>IF(Raw_Bookings!F11="New License","NEW",IF(OR(Raw_Bookings!F11="Renewal",Raw_Bookings!F11="Support"),"RECURRING","OTHER"))</f>
        <v/>
      </c>
      <c r="E10">
        <f>IFERROR(VLOOKUP(Raw_Bookings!G11,Rep_Master!$A$2:$D$18,3,FALSE),"")</f>
        <v/>
      </c>
      <c r="F10">
        <f>IFERROR(VLOOKUP(E10,Rep_Targets!$A$2:$D$9,4,FALSE),0)</f>
        <v/>
      </c>
      <c r="G10">
        <f>IF(F10=0,"NO QUOTA FOUND",IF(C10&gt;=F10*0.25,"On Track","Behind"))</f>
        <v/>
      </c>
      <c r="H10">
        <f>C10*IF(B10="West",0.95,1)</f>
        <v/>
      </c>
    </row>
    <row r="11">
      <c r="A11">
        <f>Raw_Bookings!A12</f>
        <v/>
      </c>
      <c r="B11">
        <f>IF(TRIM(LOWER(Raw_Bookings!D12))="east","East",IF(TRIM(LOWER(Raw_Bookings!D12))="west","West",IF(TRIM(LOWER(Raw_Bookings!D12))="central","Central",IF(TRIM(LOWER(Raw_Bookings!D12))="south","South","UNKNOWN"))))</f>
        <v/>
      </c>
      <c r="C11">
        <f>IFERROR(Raw_Bookings!H12*VLOOKUP(Raw_Bookings!I12,Rates!$A$2:$B$6,2,FALSE),Raw_Bookings!H12)</f>
        <v/>
      </c>
      <c r="D11">
        <f>IF(Raw_Bookings!F12="New License","NEW",IF(OR(Raw_Bookings!F12="Renewal",Raw_Bookings!F12="Support"),"RECURRING","OTHER"))</f>
        <v/>
      </c>
      <c r="E11">
        <f>IFERROR(VLOOKUP(Raw_Bookings!G12,Rep_Master!$A$2:$D$18,3,FALSE),"")</f>
        <v/>
      </c>
      <c r="F11">
        <f>IFERROR(VLOOKUP(E11,Rep_Targets!$A$2:$D$9,4,FALSE),0)</f>
        <v/>
      </c>
      <c r="G11">
        <f>IF(F11=0,"NO QUOTA FOUND",IF(C11&gt;=F11*0.25,"On Track","Behind"))</f>
        <v/>
      </c>
      <c r="H11">
        <f>C11*IF(B11="West",0.95,1)</f>
        <v/>
      </c>
    </row>
    <row r="12">
      <c r="A12">
        <f>Raw_Bookings!A13</f>
        <v/>
      </c>
      <c r="B12">
        <f>IF(TRIM(LOWER(Raw_Bookings!D13))="east","East",IF(TRIM(LOWER(Raw_Bookings!D13))="west","West",IF(TRIM(LOWER(Raw_Bookings!D13))="central","Central",IF(TRIM(LOWER(Raw_Bookings!D13))="south","South","UNKNOWN"))))</f>
        <v/>
      </c>
      <c r="C12">
        <f>IFERROR(Raw_Bookings!H13*VLOOKUP(Raw_Bookings!I13,Rates!$A$2:$B$6,2,FALSE),Raw_Bookings!H13)</f>
        <v/>
      </c>
      <c r="D12">
        <f>IF(Raw_Bookings!F13="New License","NEW",IF(OR(Raw_Bookings!F13="Renewal",Raw_Bookings!F13="Support"),"RECURRING","OTHER"))</f>
        <v/>
      </c>
      <c r="E12">
        <f>IFERROR(VLOOKUP(Raw_Bookings!G13,Rep_Master!$A$2:$D$18,3,FALSE),"")</f>
        <v/>
      </c>
      <c r="F12">
        <f>IFERROR(VLOOKUP(E12,Rep_Targets!$A$2:$D$9,4,FALSE),0)</f>
        <v/>
      </c>
      <c r="G12">
        <f>IF(F12=0,"NO QUOTA FOUND",IF(C12&gt;=F12*0.25,"On Track","Behind"))</f>
        <v/>
      </c>
      <c r="H12">
        <f>C12*IF(B12="West",0.95,1)</f>
        <v/>
      </c>
    </row>
    <row r="13">
      <c r="A13">
        <f>Raw_Bookings!A14</f>
        <v/>
      </c>
      <c r="B13">
        <f>IF(TRIM(LOWER(Raw_Bookings!D14))="east","East",IF(TRIM(LOWER(Raw_Bookings!D14))="west","West",IF(TRIM(LOWER(Raw_Bookings!D14))="central","Central",IF(TRIM(LOWER(Raw_Bookings!D14))="south","South","UNKNOWN"))))</f>
        <v/>
      </c>
      <c r="C13">
        <f>IFERROR(Raw_Bookings!H14*VLOOKUP(Raw_Bookings!I14,Rates!$A$2:$B$6,2,FALSE),Raw_Bookings!H14)</f>
        <v/>
      </c>
      <c r="D13">
        <f>IF(Raw_Bookings!F14="New License","NEW",IF(OR(Raw_Bookings!F14="Renewal",Raw_Bookings!F14="Support"),"RECURRING","OTHER"))</f>
        <v/>
      </c>
      <c r="E13">
        <f>IFERROR(VLOOKUP(Raw_Bookings!G14,Rep_Master!$A$2:$D$18,3,FALSE),"")</f>
        <v/>
      </c>
      <c r="F13">
        <f>IFERROR(VLOOKUP(E13,Rep_Targets!$A$2:$D$9,4,FALSE),0)</f>
        <v/>
      </c>
      <c r="G13">
        <f>IF(F13=0,"NO QUOTA FOUND",IF(C13&gt;=F13*0.25,"On Track","Behind"))</f>
        <v/>
      </c>
      <c r="H13">
        <f>C13*IF(B13="West",0.95,1)</f>
        <v/>
      </c>
    </row>
    <row r="14">
      <c r="A14">
        <f>Raw_Bookings!A15</f>
        <v/>
      </c>
      <c r="B14">
        <f>IF(TRIM(LOWER(Raw_Bookings!D15))="east","East",IF(TRIM(LOWER(Raw_Bookings!D15))="west","West",IF(TRIM(LOWER(Raw_Bookings!D15))="central","Central",IF(TRIM(LOWER(Raw_Bookings!D15))="south","South","UNKNOWN"))))</f>
        <v/>
      </c>
      <c r="C14">
        <f>IFERROR(Raw_Bookings!H15*VLOOKUP(Raw_Bookings!I15,Rates!$A$2:$B$6,2,FALSE),Raw_Bookings!H15)</f>
        <v/>
      </c>
      <c r="D14">
        <f>IF(Raw_Bookings!F15="New License","NEW",IF(OR(Raw_Bookings!F15="Renewal",Raw_Bookings!F15="Support"),"RECURRING","OTHER"))</f>
        <v/>
      </c>
      <c r="E14">
        <f>IFERROR(VLOOKUP(Raw_Bookings!G15,Rep_Master!$A$2:$D$18,3,FALSE),"")</f>
        <v/>
      </c>
      <c r="F14">
        <f>IFERROR(VLOOKUP(E14,Rep_Targets!$A$2:$D$9,4,FALSE),0)</f>
        <v/>
      </c>
      <c r="G14">
        <f>IF(F14=0,"NO QUOTA FOUND",IF(C14&gt;=F14*0.25,"On Track","Behind"))</f>
        <v/>
      </c>
      <c r="H14">
        <f>C14*IF(B14="West",0.95,1)</f>
        <v/>
      </c>
    </row>
    <row r="15">
      <c r="A15">
        <f>Raw_Bookings!A16</f>
        <v/>
      </c>
      <c r="B15">
        <f>IF(TRIM(LOWER(Raw_Bookings!D16))="east","East",IF(TRIM(LOWER(Raw_Bookings!D16))="west","West",IF(TRIM(LOWER(Raw_Bookings!D16))="central","Central",IF(TRIM(LOWER(Raw_Bookings!D16))="south","South","UNKNOWN"))))</f>
        <v/>
      </c>
      <c r="C15">
        <f>IFERROR(Raw_Bookings!H16*VLOOKUP(Raw_Bookings!I16,Rates!$A$2:$B$6,2,FALSE),Raw_Bookings!H16)</f>
        <v/>
      </c>
      <c r="D15">
        <f>IF(Raw_Bookings!F16="New License","NEW",IF(OR(Raw_Bookings!F16="Renewal",Raw_Bookings!F16="Support"),"RECURRING","OTHER"))</f>
        <v/>
      </c>
      <c r="E15">
        <f>IFERROR(VLOOKUP(Raw_Bookings!G16,Rep_Master!$A$2:$D$18,3,FALSE),"")</f>
        <v/>
      </c>
      <c r="F15">
        <f>IFERROR(VLOOKUP(E15,Rep_Targets!$A$2:$D$9,4,FALSE),0)</f>
        <v/>
      </c>
      <c r="G15">
        <f>IF(F15=0,"NO QUOTA FOUND",IF(C15&gt;=F15*0.25,"On Track","Behind"))</f>
        <v/>
      </c>
      <c r="H15">
        <f>C15*IF(B15="West",0.95,1)</f>
        <v/>
      </c>
    </row>
    <row r="16">
      <c r="A16">
        <f>Raw_Bookings!A17</f>
        <v/>
      </c>
      <c r="B16">
        <f>IF(TRIM(LOWER(Raw_Bookings!D17))="east","East",IF(TRIM(LOWER(Raw_Bookings!D17))="west","West",IF(TRIM(LOWER(Raw_Bookings!D17))="central","Central",IF(TRIM(LOWER(Raw_Bookings!D17))="south","South","UNKNOWN"))))</f>
        <v/>
      </c>
      <c r="C16">
        <f>IFERROR(Raw_Bookings!H17*VLOOKUP(Raw_Bookings!I17,Rates!$A$2:$B$6,2,FALSE),Raw_Bookings!H17)</f>
        <v/>
      </c>
      <c r="D16">
        <f>IF(Raw_Bookings!F17="New License","NEW",IF(OR(Raw_Bookings!F17="Renewal",Raw_Bookings!F17="Support"),"RECURRING","OTHER"))</f>
        <v/>
      </c>
      <c r="E16">
        <f>IFERROR(VLOOKUP(Raw_Bookings!G17,Rep_Master!$A$2:$D$18,3,FALSE),"")</f>
        <v/>
      </c>
      <c r="F16">
        <f>IFERROR(VLOOKUP(E16,Rep_Targets!$A$2:$D$9,4,FALSE),0)</f>
        <v/>
      </c>
      <c r="G16">
        <f>IF(F16=0,"NO QUOTA FOUND",IF(C16&gt;=F16*0.25,"On Track","Behind"))</f>
        <v/>
      </c>
      <c r="H16">
        <f>C16*IF(B16="West",0.95,1)</f>
        <v/>
      </c>
    </row>
    <row r="17">
      <c r="A17">
        <f>Raw_Bookings!A18</f>
        <v/>
      </c>
      <c r="B17">
        <f>IF(TRIM(LOWER(Raw_Bookings!D18))="east","East",IF(TRIM(LOWER(Raw_Bookings!D18))="west","West",IF(TRIM(LOWER(Raw_Bookings!D18))="central","Central",IF(TRIM(LOWER(Raw_Bookings!D18))="south","South","UNKNOWN"))))</f>
        <v/>
      </c>
      <c r="C17">
        <f>IFERROR(Raw_Bookings!H18*VLOOKUP(Raw_Bookings!I18,Rates!$A$2:$B$6,2,FALSE),Raw_Bookings!H18)</f>
        <v/>
      </c>
      <c r="D17">
        <f>IF(Raw_Bookings!F18="New License","NEW",IF(OR(Raw_Bookings!F18="Renewal",Raw_Bookings!F18="Support"),"RECURRING","OTHER"))</f>
        <v/>
      </c>
      <c r="E17">
        <f>IFERROR(VLOOKUP(Raw_Bookings!G18,Rep_Master!$A$2:$D$18,3,FALSE),"")</f>
        <v/>
      </c>
      <c r="F17">
        <f>IFERROR(VLOOKUP(E17,Rep_Targets!$A$2:$D$9,4,FALSE),0)</f>
        <v/>
      </c>
      <c r="G17">
        <f>IF(F17=0,"NO QUOTA FOUND",IF(C17&gt;=F17*0.25,"On Track","Behind"))</f>
        <v/>
      </c>
      <c r="H17">
        <f>C17*IF(B17="West",0.95,1)</f>
        <v/>
      </c>
    </row>
    <row r="18">
      <c r="A18">
        <f>Raw_Bookings!A19</f>
        <v/>
      </c>
      <c r="B18">
        <f>IF(TRIM(LOWER(Raw_Bookings!D19))="east","East",IF(TRIM(LOWER(Raw_Bookings!D19))="west","West",IF(TRIM(LOWER(Raw_Bookings!D19))="central","Central",IF(TRIM(LOWER(Raw_Bookings!D19))="south","South","UNKNOWN"))))</f>
        <v/>
      </c>
      <c r="C18">
        <f>IFERROR(Raw_Bookings!H19*VLOOKUP(Raw_Bookings!I19,Rates!$A$2:$B$6,2,FALSE),Raw_Bookings!H19)</f>
        <v/>
      </c>
      <c r="D18">
        <f>IF(Raw_Bookings!F19="New License","NEW",IF(OR(Raw_Bookings!F19="Renewal",Raw_Bookings!F19="Support"),"RECURRING","OTHER"))</f>
        <v/>
      </c>
      <c r="E18">
        <f>IFERROR(VLOOKUP(Raw_Bookings!G19,Rep_Master!$A$2:$D$18,3,FALSE),"")</f>
        <v/>
      </c>
      <c r="F18">
        <f>IFERROR(VLOOKUP(E18,Rep_Targets!$A$2:$D$9,4,FALSE),0)</f>
        <v/>
      </c>
      <c r="G18">
        <f>IF(F18=0,"NO QUOTA FOUND",IF(C18&gt;=F18*0.25,"On Track","Behind"))</f>
        <v/>
      </c>
      <c r="H18">
        <f>C18*IF(B18="West",0.95,1)</f>
        <v/>
      </c>
    </row>
    <row r="19">
      <c r="A19">
        <f>Raw_Bookings!A20</f>
        <v/>
      </c>
      <c r="B19">
        <f>IF(TRIM(LOWER(Raw_Bookings!D20))="east","East",IF(TRIM(LOWER(Raw_Bookings!D20))="west","West",IF(TRIM(LOWER(Raw_Bookings!D20))="central","Central",IF(TRIM(LOWER(Raw_Bookings!D20))="south","South","UNKNOWN"))))</f>
        <v/>
      </c>
      <c r="C19">
        <f>IFERROR(Raw_Bookings!H20*VLOOKUP(Raw_Bookings!I20,Rates!$A$2:$B$6,2,FALSE),Raw_Bookings!H20)</f>
        <v/>
      </c>
      <c r="D19">
        <f>IF(Raw_Bookings!F20="New License","NEW",IF(OR(Raw_Bookings!F20="Renewal",Raw_Bookings!F20="Support"),"RECURRING","OTHER"))</f>
        <v/>
      </c>
      <c r="E19">
        <f>IFERROR(VLOOKUP(Raw_Bookings!G20,Rep_Master!$A$2:$D$18,3,FALSE),"")</f>
        <v/>
      </c>
      <c r="F19">
        <f>IFERROR(VLOOKUP(E19,Rep_Targets!$A$2:$D$9,4,FALSE),0)</f>
        <v/>
      </c>
      <c r="G19">
        <f>IF(F19=0,"NO QUOTA FOUND",IF(C19&gt;=F19*0.25,"On Track","Behind"))</f>
        <v/>
      </c>
      <c r="H19">
        <f>C19*IF(B19="West",0.95,1)</f>
        <v/>
      </c>
    </row>
    <row r="20">
      <c r="A20">
        <f>Raw_Bookings!A21</f>
        <v/>
      </c>
      <c r="B20">
        <f>IF(TRIM(LOWER(Raw_Bookings!D21))="east","East",IF(TRIM(LOWER(Raw_Bookings!D21))="west","West",IF(TRIM(LOWER(Raw_Bookings!D21))="central","Central",IF(TRIM(LOWER(Raw_Bookings!D21))="south","South","UNKNOWN"))))</f>
        <v/>
      </c>
      <c r="C20">
        <f>IFERROR(Raw_Bookings!H21*VLOOKUP(Raw_Bookings!I21,Rates!$A$2:$B$6,2,FALSE),Raw_Bookings!H21)</f>
        <v/>
      </c>
      <c r="D20">
        <f>IF(Raw_Bookings!F21="New License","NEW",IF(OR(Raw_Bookings!F21="Renewal",Raw_Bookings!F21="Support"),"RECURRING","OTHER"))</f>
        <v/>
      </c>
      <c r="E20">
        <f>IFERROR(VLOOKUP(Raw_Bookings!G21,Rep_Master!$A$2:$D$18,3,FALSE),"")</f>
        <v/>
      </c>
      <c r="F20">
        <f>IFERROR(VLOOKUP(E20,Rep_Targets!$A$2:$D$9,4,FALSE),0)</f>
        <v/>
      </c>
      <c r="G20">
        <f>IF(F20=0,"NO QUOTA FOUND",IF(C20&gt;=F20*0.25,"On Track","Behind"))</f>
        <v/>
      </c>
      <c r="H20">
        <f>C20*IF(B20="West",0.95,1)</f>
        <v/>
      </c>
    </row>
    <row r="21">
      <c r="A21">
        <f>Raw_Bookings!A22</f>
        <v/>
      </c>
      <c r="B21">
        <f>IF(TRIM(LOWER(Raw_Bookings!D22))="east","East",IF(TRIM(LOWER(Raw_Bookings!D22))="west","West",IF(TRIM(LOWER(Raw_Bookings!D22))="central","Central",IF(TRIM(LOWER(Raw_Bookings!D22))="south","South","UNKNOWN"))))</f>
        <v/>
      </c>
      <c r="C21">
        <f>IFERROR(Raw_Bookings!H22*VLOOKUP(Raw_Bookings!I22,Rates!$A$2:$B$6,2,FALSE),Raw_Bookings!H22)</f>
        <v/>
      </c>
      <c r="D21">
        <f>IF(Raw_Bookings!F22="New License","NEW",IF(OR(Raw_Bookings!F22="Renewal",Raw_Bookings!F22="Support"),"RECURRING","OTHER"))</f>
        <v/>
      </c>
      <c r="E21">
        <f>IFERROR(VLOOKUP(Raw_Bookings!G22,Rep_Master!$A$2:$D$18,3,FALSE),"")</f>
        <v/>
      </c>
      <c r="F21">
        <f>IFERROR(VLOOKUP(E21,Rep_Targets!$A$2:$D$9,4,FALSE),0)</f>
        <v/>
      </c>
      <c r="G21">
        <f>IF(F21=0,"NO QUOTA FOUND",IF(C21&gt;=F21*0.25,"On Track","Behind"))</f>
        <v/>
      </c>
      <c r="H21">
        <f>C21*IF(B21="West",0.95,1)</f>
        <v/>
      </c>
    </row>
    <row r="22">
      <c r="A22">
        <f>Raw_Bookings!A23</f>
        <v/>
      </c>
      <c r="B22">
        <f>IF(TRIM(LOWER(Raw_Bookings!D23))="east","East",IF(TRIM(LOWER(Raw_Bookings!D23))="west","West",IF(TRIM(LOWER(Raw_Bookings!D23))="central","Central",IF(TRIM(LOWER(Raw_Bookings!D23))="south","South","UNKNOWN"))))</f>
        <v/>
      </c>
      <c r="C22">
        <f>IFERROR(Raw_Bookings!H23*VLOOKUP(Raw_Bookings!I23,Rates!$A$2:$B$6,2,FALSE),Raw_Bookings!H23)</f>
        <v/>
      </c>
      <c r="D22">
        <f>IF(Raw_Bookings!F23="New License","NEW",IF(OR(Raw_Bookings!F23="Renewal",Raw_Bookings!F23="Support"),"RECURRING","OTHER"))</f>
        <v/>
      </c>
      <c r="E22">
        <f>IFERROR(VLOOKUP(Raw_Bookings!G23,Rep_Master!$A$2:$D$18,3,FALSE),"")</f>
        <v/>
      </c>
      <c r="F22">
        <f>IFERROR(VLOOKUP(E22,Rep_Targets!$A$2:$D$9,4,FALSE),0)</f>
        <v/>
      </c>
      <c r="G22">
        <f>IF(F22=0,"NO QUOTA FOUND",IF(C22&gt;=F22*0.25,"On Track","Behind"))</f>
        <v/>
      </c>
      <c r="H22">
        <f>C22*IF(B22="West",0.95,1)</f>
        <v/>
      </c>
    </row>
    <row r="23">
      <c r="A23">
        <f>Raw_Bookings!A24</f>
        <v/>
      </c>
      <c r="B23">
        <f>IF(TRIM(LOWER(Raw_Bookings!D24))="east","East",IF(TRIM(LOWER(Raw_Bookings!D24))="west","West",IF(TRIM(LOWER(Raw_Bookings!D24))="central","Central",IF(TRIM(LOWER(Raw_Bookings!D24))="south","South","UNKNOWN"))))</f>
        <v/>
      </c>
      <c r="C23">
        <f>IFERROR(Raw_Bookings!H24*VLOOKUP(Raw_Bookings!I24,Rates!$A$2:$B$6,2,FALSE),Raw_Bookings!H24)</f>
        <v/>
      </c>
      <c r="D23">
        <f>IF(Raw_Bookings!F24="New License","NEW",IF(OR(Raw_Bookings!F24="Renewal",Raw_Bookings!F24="Support"),"RECURRING","OTHER"))</f>
        <v/>
      </c>
      <c r="E23">
        <f>IFERROR(VLOOKUP(Raw_Bookings!G24,Rep_Master!$A$2:$D$18,3,FALSE),"")</f>
        <v/>
      </c>
      <c r="F23">
        <f>IFERROR(VLOOKUP(E23,Rep_Targets!$A$2:$D$9,4,FALSE),0)</f>
        <v/>
      </c>
      <c r="G23">
        <f>IF(F23=0,"NO QUOTA FOUND",IF(C23&gt;=F23*0.25,"On Track","Behind"))</f>
        <v/>
      </c>
      <c r="H23">
        <f>C23*IF(B23="West",0.95,1)</f>
        <v/>
      </c>
    </row>
    <row r="24">
      <c r="A24">
        <f>Raw_Bookings!A25</f>
        <v/>
      </c>
      <c r="B24">
        <f>IF(TRIM(LOWER(Raw_Bookings!D25))="east","East",IF(TRIM(LOWER(Raw_Bookings!D25))="west","West",IF(TRIM(LOWER(Raw_Bookings!D25))="central","Central",IF(TRIM(LOWER(Raw_Bookings!D25))="south","South","UNKNOWN"))))</f>
        <v/>
      </c>
      <c r="C24">
        <f>IFERROR(Raw_Bookings!H25*VLOOKUP(Raw_Bookings!I25,Rates!$A$2:$B$6,2,FALSE),Raw_Bookings!H25)</f>
        <v/>
      </c>
      <c r="D24">
        <f>IF(Raw_Bookings!F25="New License","NEW",IF(OR(Raw_Bookings!F25="Renewal",Raw_Bookings!F25="Support"),"RECURRING","OTHER"))</f>
        <v/>
      </c>
      <c r="E24">
        <f>IFERROR(VLOOKUP(Raw_Bookings!G25,Rep_Master!$A$2:$D$18,3,FALSE),"")</f>
        <v/>
      </c>
      <c r="F24">
        <f>IFERROR(VLOOKUP(E24,Rep_Targets!$A$2:$D$9,4,FALSE),0)</f>
        <v/>
      </c>
      <c r="G24">
        <f>IF(F24=0,"NO QUOTA FOUND",IF(C24&gt;=F24*0.25,"On Track","Behind"))</f>
        <v/>
      </c>
      <c r="H24">
        <f>C24*IF(B24="West",0.95,1)</f>
        <v/>
      </c>
    </row>
    <row r="25">
      <c r="A25">
        <f>Raw_Bookings!A26</f>
        <v/>
      </c>
      <c r="B25">
        <f>IF(TRIM(LOWER(Raw_Bookings!D26))="east","East",IF(TRIM(LOWER(Raw_Bookings!D26))="west","West",IF(TRIM(LOWER(Raw_Bookings!D26))="central","Central",IF(TRIM(LOWER(Raw_Bookings!D26))="south","South","UNKNOWN"))))</f>
        <v/>
      </c>
      <c r="C25">
        <f>IFERROR(Raw_Bookings!H26*VLOOKUP(Raw_Bookings!I26,Rates!$A$2:$B$6,2,FALSE),Raw_Bookings!H26)</f>
        <v/>
      </c>
      <c r="D25">
        <f>IF(Raw_Bookings!F26="New License","NEW",IF(OR(Raw_Bookings!F26="Renewal",Raw_Bookings!F26="Support"),"RECURRING","OTHER"))</f>
        <v/>
      </c>
      <c r="E25">
        <f>IFERROR(VLOOKUP(Raw_Bookings!G26,Rep_Master!$A$2:$D$18,3,FALSE),"")</f>
        <v/>
      </c>
      <c r="F25">
        <f>IFERROR(VLOOKUP(E25,Rep_Targets!$A$2:$D$9,4,FALSE),0)</f>
        <v/>
      </c>
      <c r="G25">
        <f>IF(F25=0,"NO QUOTA FOUND",IF(C25&gt;=F25*0.25,"On Track","Behind"))</f>
        <v/>
      </c>
      <c r="H25">
        <f>C25*IF(B25="West",0.95,1)</f>
        <v/>
      </c>
    </row>
    <row r="26">
      <c r="A26">
        <f>Raw_Bookings!A27</f>
        <v/>
      </c>
      <c r="B26">
        <f>IF(TRIM(LOWER(Raw_Bookings!D27))="east","East",IF(TRIM(LOWER(Raw_Bookings!D27))="west","West",IF(TRIM(LOWER(Raw_Bookings!D27))="central","Central",IF(TRIM(LOWER(Raw_Bookings!D27))="south","South","UNKNOWN"))))</f>
        <v/>
      </c>
      <c r="C26">
        <f>IFERROR(Raw_Bookings!H27*VLOOKUP(Raw_Bookings!I27,Rates!$A$2:$B$6,2,FALSE),Raw_Bookings!H27)</f>
        <v/>
      </c>
      <c r="D26">
        <f>IF(Raw_Bookings!F27="New License","NEW",IF(OR(Raw_Bookings!F27="Renewal",Raw_Bookings!F27="Support"),"RECURRING","OTHER"))</f>
        <v/>
      </c>
      <c r="E26">
        <f>IFERROR(VLOOKUP(Raw_Bookings!G27,Rep_Master!$A$2:$D$18,3,FALSE),"")</f>
        <v/>
      </c>
      <c r="F26">
        <f>IFERROR(VLOOKUP(E26,Rep_Targets!$A$2:$D$9,4,FALSE),0)</f>
        <v/>
      </c>
      <c r="G26">
        <f>IF(F26=0,"NO QUOTA FOUND",IF(C26&gt;=F26*0.25,"On Track","Behind"))</f>
        <v/>
      </c>
      <c r="H26">
        <f>C26*IF(B26="West",0.95,1)</f>
        <v/>
      </c>
    </row>
    <row r="27">
      <c r="A27">
        <f>Raw_Bookings!A28</f>
        <v/>
      </c>
      <c r="B27">
        <f>IF(TRIM(LOWER(Raw_Bookings!D28))="east","East",IF(TRIM(LOWER(Raw_Bookings!D28))="west","West",IF(TRIM(LOWER(Raw_Bookings!D28))="central","Central",IF(TRIM(LOWER(Raw_Bookings!D28))="south","South","UNKNOWN"))))</f>
        <v/>
      </c>
      <c r="C27">
        <f>IFERROR(Raw_Bookings!H28*VLOOKUP(Raw_Bookings!I28,Rates!$A$2:$B$6,2,FALSE),Raw_Bookings!H28)</f>
        <v/>
      </c>
      <c r="D27">
        <f>IF(Raw_Bookings!F28="New License","NEW",IF(OR(Raw_Bookings!F28="Renewal",Raw_Bookings!F28="Support"),"RECURRING","OTHER"))</f>
        <v/>
      </c>
      <c r="E27">
        <f>IFERROR(VLOOKUP(Raw_Bookings!G28,Rep_Master!$A$2:$D$18,3,FALSE),"")</f>
        <v/>
      </c>
      <c r="F27">
        <f>IFERROR(VLOOKUP(E27,Rep_Targets!$A$2:$D$9,4,FALSE),0)</f>
        <v/>
      </c>
      <c r="G27">
        <f>IF(F27=0,"NO QUOTA FOUND",IF(C27&gt;=F27*0.25,"On Track","Behind"))</f>
        <v/>
      </c>
      <c r="H27">
        <f>C27*IF(B27="West",0.95,1)</f>
        <v/>
      </c>
    </row>
    <row r="28">
      <c r="A28">
        <f>Raw_Bookings!A29</f>
        <v/>
      </c>
      <c r="B28">
        <f>IF(TRIM(LOWER(Raw_Bookings!D29))="east","East",IF(TRIM(LOWER(Raw_Bookings!D29))="west","West",IF(TRIM(LOWER(Raw_Bookings!D29))="central","Central",IF(TRIM(LOWER(Raw_Bookings!D29))="south","South","UNKNOWN"))))</f>
        <v/>
      </c>
      <c r="C28">
        <f>IFERROR(Raw_Bookings!H29*VLOOKUP(Raw_Bookings!I29,Rates!$A$2:$B$6,2,FALSE),Raw_Bookings!H29)</f>
        <v/>
      </c>
      <c r="D28">
        <f>IF(Raw_Bookings!F29="New License","NEW",IF(OR(Raw_Bookings!F29="Renewal",Raw_Bookings!F29="Support"),"RECURRING","OTHER"))</f>
        <v/>
      </c>
      <c r="E28">
        <f>IFERROR(VLOOKUP(Raw_Bookings!G29,Rep_Master!$A$2:$D$18,3,FALSE),"")</f>
        <v/>
      </c>
      <c r="F28">
        <f>IFERROR(VLOOKUP(E28,Rep_Targets!$A$2:$D$9,4,FALSE),0)</f>
        <v/>
      </c>
      <c r="G28">
        <f>IF(F28=0,"NO QUOTA FOUND",IF(C28&gt;=F28*0.25,"On Track","Behind"))</f>
        <v/>
      </c>
      <c r="H28">
        <f>C28*IF(B28="West",0.95,1)</f>
        <v/>
      </c>
    </row>
    <row r="29">
      <c r="A29">
        <f>Raw_Bookings!A30</f>
        <v/>
      </c>
      <c r="B29">
        <f>IF(TRIM(LOWER(Raw_Bookings!D30))="east","East",IF(TRIM(LOWER(Raw_Bookings!D30))="west","West",IF(TRIM(LOWER(Raw_Bookings!D30))="central","Central",IF(TRIM(LOWER(Raw_Bookings!D30))="south","South","UNKNOWN"))))</f>
        <v/>
      </c>
      <c r="C29">
        <f>IFERROR(Raw_Bookings!H30*VLOOKUP(Raw_Bookings!I30,Rates!$A$2:$B$6,2,FALSE),Raw_Bookings!H30)</f>
        <v/>
      </c>
      <c r="D29">
        <f>IF(Raw_Bookings!F30="New License","NEW",IF(OR(Raw_Bookings!F30="Renewal",Raw_Bookings!F30="Support"),"RECURRING","OTHER"))</f>
        <v/>
      </c>
      <c r="E29">
        <f>IFERROR(VLOOKUP(Raw_Bookings!G30,Rep_Master!$A$2:$D$18,3,FALSE),"")</f>
        <v/>
      </c>
      <c r="F29">
        <f>IFERROR(VLOOKUP(E29,Rep_Targets!$A$2:$D$9,4,FALSE),0)</f>
        <v/>
      </c>
      <c r="G29">
        <f>IF(F29=0,"NO QUOTA FOUND",IF(C29&gt;=F29*0.25,"On Track","Behind"))</f>
        <v/>
      </c>
      <c r="H29">
        <f>C29*IF(B29="West",0.95,1)</f>
        <v/>
      </c>
    </row>
    <row r="30">
      <c r="A30">
        <f>Raw_Bookings!A31</f>
        <v/>
      </c>
      <c r="B30">
        <f>IF(TRIM(LOWER(Raw_Bookings!D31))="east","East",IF(TRIM(LOWER(Raw_Bookings!D31))="west","West",IF(TRIM(LOWER(Raw_Bookings!D31))="central","Central",IF(TRIM(LOWER(Raw_Bookings!D31))="south","South","UNKNOWN"))))</f>
        <v/>
      </c>
      <c r="C30">
        <f>IFERROR(Raw_Bookings!H31*VLOOKUP(Raw_Bookings!I31,Rates!$A$2:$B$6,2,FALSE),Raw_Bookings!H31)</f>
        <v/>
      </c>
      <c r="D30">
        <f>IF(Raw_Bookings!F31="New License","NEW",IF(OR(Raw_Bookings!F31="Renewal",Raw_Bookings!F31="Support"),"RECURRING","OTHER"))</f>
        <v/>
      </c>
      <c r="E30">
        <f>IFERROR(VLOOKUP(Raw_Bookings!G31,Rep_Master!$A$2:$D$18,3,FALSE),"")</f>
        <v/>
      </c>
      <c r="F30">
        <f>IFERROR(VLOOKUP(E30,Rep_Targets!$A$2:$D$9,4,FALSE),0)</f>
        <v/>
      </c>
      <c r="G30">
        <f>IF(F30=0,"NO QUOTA FOUND",IF(C30&gt;=F30*0.25,"On Track","Behind"))</f>
        <v/>
      </c>
      <c r="H30">
        <f>C30*IF(B30="West",0.95,1)</f>
        <v/>
      </c>
    </row>
    <row r="31">
      <c r="A31">
        <f>Raw_Bookings!A32</f>
        <v/>
      </c>
      <c r="B31">
        <f>IF(TRIM(LOWER(Raw_Bookings!D32))="east","East",IF(TRIM(LOWER(Raw_Bookings!D32))="west","West",IF(TRIM(LOWER(Raw_Bookings!D32))="central","Central",IF(TRIM(LOWER(Raw_Bookings!D32))="south","South","UNKNOWN"))))</f>
        <v/>
      </c>
      <c r="C31">
        <f>IFERROR(Raw_Bookings!H32*VLOOKUP(Raw_Bookings!I32,Rates!$A$2:$B$6,2,FALSE),Raw_Bookings!H32)</f>
        <v/>
      </c>
      <c r="D31">
        <f>IF(Raw_Bookings!F32="New License","NEW",IF(OR(Raw_Bookings!F32="Renewal",Raw_Bookings!F32="Support"),"RECURRING","OTHER"))</f>
        <v/>
      </c>
      <c r="E31">
        <f>IFERROR(VLOOKUP(Raw_Bookings!G32,Rep_Master!$A$2:$D$18,3,FALSE),"")</f>
        <v/>
      </c>
      <c r="F31">
        <f>IFERROR(VLOOKUP(E31,Rep_Targets!$A$2:$D$9,4,FALSE),0)</f>
        <v/>
      </c>
      <c r="G31">
        <f>IF(F31=0,"NO QUOTA FOUND",IF(C31&gt;=F31*0.25,"On Track","Behind"))</f>
        <v/>
      </c>
      <c r="H31">
        <f>C31*IF(B31="West",0.95,1)</f>
        <v/>
      </c>
    </row>
    <row r="32">
      <c r="A32">
        <f>Raw_Bookings!A33</f>
        <v/>
      </c>
      <c r="B32">
        <f>IF(TRIM(LOWER(Raw_Bookings!D33))="east","East",IF(TRIM(LOWER(Raw_Bookings!D33))="west","West",IF(TRIM(LOWER(Raw_Bookings!D33))="central","Central",IF(TRIM(LOWER(Raw_Bookings!D33))="south","South","UNKNOWN"))))</f>
        <v/>
      </c>
      <c r="C32">
        <f>IFERROR(Raw_Bookings!H33*VLOOKUP(Raw_Bookings!I33,Rates!$A$2:$B$6,2,FALSE),Raw_Bookings!H33)</f>
        <v/>
      </c>
      <c r="D32">
        <f>IF(Raw_Bookings!F33="New License","NEW",IF(OR(Raw_Bookings!F33="Renewal",Raw_Bookings!F33="Support"),"RECURRING","OTHER"))</f>
        <v/>
      </c>
      <c r="E32">
        <f>IFERROR(VLOOKUP(Raw_Bookings!G33,Rep_Master!$A$2:$D$18,3,FALSE),"")</f>
        <v/>
      </c>
      <c r="F32">
        <f>IFERROR(VLOOKUP(E32,Rep_Targets!$A$2:$D$9,4,FALSE),0)</f>
        <v/>
      </c>
      <c r="G32">
        <f>IF(F32=0,"NO QUOTA FOUND",IF(C32&gt;=F32*0.25,"On Track","Behind"))</f>
        <v/>
      </c>
      <c r="H32">
        <f>C32*IF(B32="West",0.95,1)</f>
        <v/>
      </c>
    </row>
    <row r="33">
      <c r="A33">
        <f>Raw_Bookings!A34</f>
        <v/>
      </c>
      <c r="B33">
        <f>IF(TRIM(LOWER(Raw_Bookings!D34))="east","East",IF(TRIM(LOWER(Raw_Bookings!D34))="west","West",IF(TRIM(LOWER(Raw_Bookings!D34))="central","Central",IF(TRIM(LOWER(Raw_Bookings!D34))="south","South","UNKNOWN"))))</f>
        <v/>
      </c>
      <c r="C33">
        <f>IFERROR(Raw_Bookings!H34*VLOOKUP(Raw_Bookings!I34,Rates!$A$2:$B$6,2,FALSE),Raw_Bookings!H34)</f>
        <v/>
      </c>
      <c r="D33">
        <f>IF(Raw_Bookings!F34="New License","NEW",IF(OR(Raw_Bookings!F34="Renewal",Raw_Bookings!F34="Support"),"RECURRING","OTHER"))</f>
        <v/>
      </c>
      <c r="E33">
        <f>IFERROR(VLOOKUP(Raw_Bookings!G34,Rep_Master!$A$2:$D$18,3,FALSE),"")</f>
        <v/>
      </c>
      <c r="F33">
        <f>IFERROR(VLOOKUP(E33,Rep_Targets!$A$2:$D$9,4,FALSE),0)</f>
        <v/>
      </c>
      <c r="G33">
        <f>IF(F33=0,"NO QUOTA FOUND",IF(C33&gt;=F33*0.25,"On Track","Behind"))</f>
        <v/>
      </c>
      <c r="H33">
        <f>C33*IF(B33="West",0.95,1)</f>
        <v/>
      </c>
    </row>
    <row r="34">
      <c r="A34">
        <f>Raw_Bookings!A35</f>
        <v/>
      </c>
      <c r="B34">
        <f>IF(TRIM(LOWER(Raw_Bookings!D35))="east","East",IF(TRIM(LOWER(Raw_Bookings!D35))="west","West",IF(TRIM(LOWER(Raw_Bookings!D35))="central","Central",IF(TRIM(LOWER(Raw_Bookings!D35))="south","South","UNKNOWN"))))</f>
        <v/>
      </c>
      <c r="C34">
        <f>IFERROR(Raw_Bookings!H35*VLOOKUP(Raw_Bookings!I35,Rates!$A$2:$B$6,2,FALSE),Raw_Bookings!H35)</f>
        <v/>
      </c>
      <c r="D34">
        <f>IF(Raw_Bookings!F35="New License","NEW",IF(OR(Raw_Bookings!F35="Renewal",Raw_Bookings!F35="Support"),"RECURRING","OTHER"))</f>
        <v/>
      </c>
      <c r="E34">
        <f>IFERROR(VLOOKUP(Raw_Bookings!G35,Rep_Master!$A$2:$D$18,3,FALSE),"")</f>
        <v/>
      </c>
      <c r="F34">
        <f>IFERROR(VLOOKUP(E34,Rep_Targets!$A$2:$D$9,4,FALSE),0)</f>
        <v/>
      </c>
      <c r="G34">
        <f>IF(F34=0,"NO QUOTA FOUND",IF(C34&gt;=F34*0.25,"On Track","Behind"))</f>
        <v/>
      </c>
      <c r="H34">
        <f>C34*IF(B34="West",0.95,1)</f>
        <v/>
      </c>
    </row>
    <row r="35">
      <c r="A35">
        <f>Raw_Bookings!A36</f>
        <v/>
      </c>
      <c r="B35">
        <f>IF(TRIM(LOWER(Raw_Bookings!D36))="east","East",IF(TRIM(LOWER(Raw_Bookings!D36))="west","West",IF(TRIM(LOWER(Raw_Bookings!D36))="central","Central",IF(TRIM(LOWER(Raw_Bookings!D36))="south","South","UNKNOWN"))))</f>
        <v/>
      </c>
      <c r="C35">
        <f>IFERROR(Raw_Bookings!H36*VLOOKUP(Raw_Bookings!I36,Rates!$A$2:$B$6,2,FALSE),Raw_Bookings!H36)</f>
        <v/>
      </c>
      <c r="D35">
        <f>IF(Raw_Bookings!F36="New License","NEW",IF(OR(Raw_Bookings!F36="Renewal",Raw_Bookings!F36="Support"),"RECURRING","OTHER"))</f>
        <v/>
      </c>
      <c r="E35">
        <f>IFERROR(VLOOKUP(Raw_Bookings!G36,Rep_Master!$A$2:$D$18,3,FALSE),"")</f>
        <v/>
      </c>
      <c r="F35">
        <f>IFERROR(VLOOKUP(E35,Rep_Targets!$A$2:$D$9,4,FALSE),0)</f>
        <v/>
      </c>
      <c r="G35">
        <f>IF(F35=0,"NO QUOTA FOUND",IF(C35&gt;=F35*0.25,"On Track","Behind"))</f>
        <v/>
      </c>
      <c r="H35">
        <f>C35*IF(B35="West",0.95,1)</f>
        <v/>
      </c>
    </row>
    <row r="36">
      <c r="A36">
        <f>Raw_Bookings!A37</f>
        <v/>
      </c>
      <c r="B36">
        <f>IF(TRIM(LOWER(Raw_Bookings!D37))="east","East",IF(TRIM(LOWER(Raw_Bookings!D37))="west","West",IF(TRIM(LOWER(Raw_Bookings!D37))="central","Central",IF(TRIM(LOWER(Raw_Bookings!D37))="south","South","UNKNOWN"))))</f>
        <v/>
      </c>
      <c r="C36">
        <f>IFERROR(Raw_Bookings!H37*VLOOKUP(Raw_Bookings!I37,Rates!$A$2:$B$6,2,FALSE),Raw_Bookings!H37)</f>
        <v/>
      </c>
      <c r="D36">
        <f>IF(Raw_Bookings!F37="New License","NEW",IF(OR(Raw_Bookings!F37="Renewal",Raw_Bookings!F37="Support"),"RECURRING","OTHER"))</f>
        <v/>
      </c>
      <c r="E36">
        <f>IFERROR(VLOOKUP(Raw_Bookings!G37,Rep_Master!$A$2:$D$18,3,FALSE),"")</f>
        <v/>
      </c>
      <c r="F36">
        <f>IFERROR(VLOOKUP(E36,Rep_Targets!$A$2:$D$9,4,FALSE),0)</f>
        <v/>
      </c>
      <c r="G36">
        <f>IF(F36=0,"NO QUOTA FOUND",IF(C36&gt;=F36*0.25,"On Track","Behind"))</f>
        <v/>
      </c>
      <c r="H36">
        <f>C36*IF(B36="West",0.95,1)</f>
        <v/>
      </c>
    </row>
    <row r="37">
      <c r="A37">
        <f>Raw_Bookings!A38</f>
        <v/>
      </c>
      <c r="B37">
        <f>IF(TRIM(LOWER(Raw_Bookings!D38))="east","East",IF(TRIM(LOWER(Raw_Bookings!D38))="west","West",IF(TRIM(LOWER(Raw_Bookings!D38))="central","Central",IF(TRIM(LOWER(Raw_Bookings!D38))="south","South","UNKNOWN"))))</f>
        <v/>
      </c>
      <c r="C37">
        <f>IFERROR(Raw_Bookings!H38*VLOOKUP(Raw_Bookings!I38,Rates!$A$2:$B$6,2,FALSE),Raw_Bookings!H38)</f>
        <v/>
      </c>
      <c r="D37">
        <f>IF(Raw_Bookings!F38="New License","NEW",IF(OR(Raw_Bookings!F38="Renewal",Raw_Bookings!F38="Support"),"RECURRING","OTHER"))</f>
        <v/>
      </c>
      <c r="E37">
        <f>IFERROR(VLOOKUP(Raw_Bookings!G38,Rep_Master!$A$2:$D$18,3,FALSE),"")</f>
        <v/>
      </c>
      <c r="F37">
        <f>IFERROR(VLOOKUP(E37,Rep_Targets!$A$2:$D$9,4,FALSE),0)</f>
        <v/>
      </c>
      <c r="G37">
        <f>IF(F37=0,"NO QUOTA FOUND",IF(C37&gt;=F37*0.25,"On Track","Behind"))</f>
        <v/>
      </c>
      <c r="H37">
        <f>C37*IF(B37="West",0.95,1)</f>
        <v/>
      </c>
    </row>
    <row r="38">
      <c r="A38">
        <f>Raw_Bookings!A39</f>
        <v/>
      </c>
      <c r="B38">
        <f>IF(TRIM(LOWER(Raw_Bookings!D39))="east","East",IF(TRIM(LOWER(Raw_Bookings!D39))="west","West",IF(TRIM(LOWER(Raw_Bookings!D39))="central","Central",IF(TRIM(LOWER(Raw_Bookings!D39))="south","South","UNKNOWN"))))</f>
        <v/>
      </c>
      <c r="C38">
        <f>IFERROR(Raw_Bookings!H39*VLOOKUP(Raw_Bookings!I39,Rates!$A$2:$B$6,2,FALSE),Raw_Bookings!H39)</f>
        <v/>
      </c>
      <c r="D38">
        <f>IF(Raw_Bookings!F39="New License","NEW",IF(OR(Raw_Bookings!F39="Renewal",Raw_Bookings!F39="Support"),"RECURRING","OTHER"))</f>
        <v/>
      </c>
      <c r="E38">
        <f>IFERROR(VLOOKUP(Raw_Bookings!G39,Rep_Master!$A$2:$D$18,3,FALSE),"")</f>
        <v/>
      </c>
      <c r="F38">
        <f>IFERROR(VLOOKUP(E38,Rep_Targets!$A$2:$D$9,4,FALSE),0)</f>
        <v/>
      </c>
      <c r="G38">
        <f>IF(F38=0,"NO QUOTA FOUND",IF(C38&gt;=F38*0.25,"On Track","Behind"))</f>
        <v/>
      </c>
      <c r="H38">
        <f>C38*IF(B38="West",0.95,1)</f>
        <v/>
      </c>
    </row>
    <row r="39">
      <c r="A39">
        <f>Raw_Bookings!A40</f>
        <v/>
      </c>
      <c r="B39">
        <f>IF(TRIM(LOWER(Raw_Bookings!D40))="east","East",IF(TRIM(LOWER(Raw_Bookings!D40))="west","West",IF(TRIM(LOWER(Raw_Bookings!D40))="central","Central",IF(TRIM(LOWER(Raw_Bookings!D40))="south","South","UNKNOWN"))))</f>
        <v/>
      </c>
      <c r="C39">
        <f>IFERROR(Raw_Bookings!H40*VLOOKUP(Raw_Bookings!I40,Rates!$A$2:$B$6,2,FALSE),Raw_Bookings!H40)</f>
        <v/>
      </c>
      <c r="D39">
        <f>IF(Raw_Bookings!F40="New License","NEW",IF(OR(Raw_Bookings!F40="Renewal",Raw_Bookings!F40="Support"),"RECURRING","OTHER"))</f>
        <v/>
      </c>
      <c r="E39">
        <f>IFERROR(VLOOKUP(Raw_Bookings!G40,Rep_Master!$A$2:$D$18,3,FALSE),"")</f>
        <v/>
      </c>
      <c r="F39">
        <f>IFERROR(VLOOKUP(E39,Rep_Targets!$A$2:$D$9,4,FALSE),0)</f>
        <v/>
      </c>
      <c r="G39">
        <f>IF(F39=0,"NO QUOTA FOUND",IF(C39&gt;=F39*0.25,"On Track","Behind"))</f>
        <v/>
      </c>
      <c r="H39">
        <f>C39*IF(B39="West",0.95,1)</f>
        <v/>
      </c>
    </row>
    <row r="40">
      <c r="A40">
        <f>Raw_Bookings!A41</f>
        <v/>
      </c>
      <c r="B40">
        <f>IF(TRIM(LOWER(Raw_Bookings!D41))="east","East",IF(TRIM(LOWER(Raw_Bookings!D41))="west","West",IF(TRIM(LOWER(Raw_Bookings!D41))="central","Central",IF(TRIM(LOWER(Raw_Bookings!D41))="south","South","UNKNOWN"))))</f>
        <v/>
      </c>
      <c r="C40">
        <f>IFERROR(Raw_Bookings!H41*VLOOKUP(Raw_Bookings!I41,Rates!$A$2:$B$6,2,FALSE),Raw_Bookings!H41)</f>
        <v/>
      </c>
      <c r="D40">
        <f>IF(Raw_Bookings!F41="New License","NEW",IF(OR(Raw_Bookings!F41="Renewal",Raw_Bookings!F41="Support"),"RECURRING","OTHER"))</f>
        <v/>
      </c>
      <c r="E40">
        <f>IFERROR(VLOOKUP(Raw_Bookings!G41,Rep_Master!$A$2:$D$18,3,FALSE),"")</f>
        <v/>
      </c>
      <c r="F40">
        <f>IFERROR(VLOOKUP(E40,Rep_Targets!$A$2:$D$9,4,FALSE),0)</f>
        <v/>
      </c>
      <c r="G40">
        <f>IF(F40=0,"NO QUOTA FOUND",IF(C40&gt;=F40*0.25,"On Track","Behind"))</f>
        <v/>
      </c>
      <c r="H40">
        <f>C40*IF(B40="West",0.95,1)</f>
        <v/>
      </c>
    </row>
    <row r="41">
      <c r="A41">
        <f>Raw_Bookings!A42</f>
        <v/>
      </c>
      <c r="B41">
        <f>IF(TRIM(LOWER(Raw_Bookings!D42))="east","East",IF(TRIM(LOWER(Raw_Bookings!D42))="west","West",IF(TRIM(LOWER(Raw_Bookings!D42))="central","Central",IF(TRIM(LOWER(Raw_Bookings!D42))="south","South","UNKNOWN"))))</f>
        <v/>
      </c>
      <c r="C41">
        <f>IFERROR(Raw_Bookings!H42*VLOOKUP(Raw_Bookings!I42,Rates!$A$2:$B$6,2,FALSE),Raw_Bookings!H42)</f>
        <v/>
      </c>
      <c r="D41">
        <f>IF(Raw_Bookings!F42="New License","NEW",IF(OR(Raw_Bookings!F42="Renewal",Raw_Bookings!F42="Support"),"RECURRING","OTHER"))</f>
        <v/>
      </c>
      <c r="E41">
        <f>IFERROR(VLOOKUP(Raw_Bookings!G42,Rep_Master!$A$2:$D$18,3,FALSE),"")</f>
        <v/>
      </c>
      <c r="F41">
        <f>IFERROR(VLOOKUP(E41,Rep_Targets!$A$2:$D$9,4,FALSE),0)</f>
        <v/>
      </c>
      <c r="G41">
        <f>IF(F41=0,"NO QUOTA FOUND",IF(C41&gt;=F41*0.25,"On Track","Behind"))</f>
        <v/>
      </c>
      <c r="H41">
        <f>C41*IF(B41="West",0.95,1)</f>
        <v/>
      </c>
    </row>
    <row r="42">
      <c r="A42">
        <f>Raw_Bookings!A43</f>
        <v/>
      </c>
      <c r="B42">
        <f>IF(TRIM(LOWER(Raw_Bookings!D43))="east","East",IF(TRIM(LOWER(Raw_Bookings!D43))="west","West",IF(TRIM(LOWER(Raw_Bookings!D43))="central","Central",IF(TRIM(LOWER(Raw_Bookings!D43))="south","South","UNKNOWN"))))</f>
        <v/>
      </c>
      <c r="C42">
        <f>IFERROR(Raw_Bookings!H43*VLOOKUP(Raw_Bookings!I43,Rates!$A$2:$B$6,2,FALSE),Raw_Bookings!H43)</f>
        <v/>
      </c>
      <c r="D42">
        <f>IF(Raw_Bookings!F43="New License","NEW",IF(OR(Raw_Bookings!F43="Renewal",Raw_Bookings!F43="Support"),"RECURRING","OTHER"))</f>
        <v/>
      </c>
      <c r="E42">
        <f>IFERROR(VLOOKUP(Raw_Bookings!G43,Rep_Master!$A$2:$D$18,3,FALSE),"")</f>
        <v/>
      </c>
      <c r="F42">
        <f>IFERROR(VLOOKUP(E42,Rep_Targets!$A$2:$D$9,4,FALSE),0)</f>
        <v/>
      </c>
      <c r="G42">
        <f>IF(F42=0,"NO QUOTA FOUND",IF(C42&gt;=F42*0.25,"On Track","Behind"))</f>
        <v/>
      </c>
      <c r="H42">
        <f>C42*IF(B42="West",0.95,1)</f>
        <v/>
      </c>
    </row>
    <row r="43">
      <c r="A43">
        <f>Raw_Bookings!A44</f>
        <v/>
      </c>
      <c r="B43">
        <f>IF(TRIM(LOWER(Raw_Bookings!D44))="east","East",IF(TRIM(LOWER(Raw_Bookings!D44))="west","West",IF(TRIM(LOWER(Raw_Bookings!D44))="central","Central",IF(TRIM(LOWER(Raw_Bookings!D44))="south","South","UNKNOWN"))))</f>
        <v/>
      </c>
      <c r="C43">
        <f>IFERROR(Raw_Bookings!H44*VLOOKUP(Raw_Bookings!I44,Rates!$A$2:$B$6,2,FALSE),Raw_Bookings!H44)</f>
        <v/>
      </c>
      <c r="D43">
        <f>IF(Raw_Bookings!F44="New License","NEW",IF(OR(Raw_Bookings!F44="Renewal",Raw_Bookings!F44="Support"),"RECURRING","OTHER"))</f>
        <v/>
      </c>
      <c r="E43">
        <f>IFERROR(VLOOKUP(Raw_Bookings!G44,Rep_Master!$A$2:$D$18,3,FALSE),"")</f>
        <v/>
      </c>
      <c r="F43">
        <f>IFERROR(VLOOKUP(E43,Rep_Targets!$A$2:$D$9,4,FALSE),0)</f>
        <v/>
      </c>
      <c r="G43">
        <f>IF(F43=0,"NO QUOTA FOUND",IF(C43&gt;=F43*0.25,"On Track","Behind"))</f>
        <v/>
      </c>
      <c r="H43">
        <f>C43*IF(B43="West",0.95,1)</f>
        <v/>
      </c>
    </row>
    <row r="44">
      <c r="A44">
        <f>Raw_Bookings!A45</f>
        <v/>
      </c>
      <c r="B44">
        <f>IF(TRIM(LOWER(Raw_Bookings!D45))="east","East",IF(TRIM(LOWER(Raw_Bookings!D45))="west","West",IF(TRIM(LOWER(Raw_Bookings!D45))="central","Central",IF(TRIM(LOWER(Raw_Bookings!D45))="south","South","UNKNOWN"))))</f>
        <v/>
      </c>
      <c r="C44">
        <f>IFERROR(Raw_Bookings!H45*VLOOKUP(Raw_Bookings!I45,Rates!$A$2:$B$6,2,FALSE),Raw_Bookings!H45)</f>
        <v/>
      </c>
      <c r="D44">
        <f>IF(Raw_Bookings!F45="New License","NEW",IF(OR(Raw_Bookings!F45="Renewal",Raw_Bookings!F45="Support"),"RECURRING","OTHER"))</f>
        <v/>
      </c>
      <c r="E44">
        <f>IFERROR(VLOOKUP(Raw_Bookings!G45,Rep_Master!$A$2:$D$18,3,FALSE),"")</f>
        <v/>
      </c>
      <c r="F44">
        <f>IFERROR(VLOOKUP(E44,Rep_Targets!$A$2:$D$9,4,FALSE),0)</f>
        <v/>
      </c>
      <c r="G44">
        <f>IF(F44=0,"NO QUOTA FOUND",IF(C44&gt;=F44*0.25,"On Track","Behind"))</f>
        <v/>
      </c>
      <c r="H44" t="n">
        <v>26913.42</v>
      </c>
      <c r="I44" t="inlineStr">
        <is>
          <t>ADJ043</t>
        </is>
      </c>
      <c r="J44" t="inlineStr">
        <is>
          <t>mgr adj - see email 3/12</t>
        </is>
      </c>
    </row>
    <row r="45">
      <c r="A45">
        <f>Raw_Bookings!A46</f>
        <v/>
      </c>
      <c r="B45">
        <f>IF(TRIM(LOWER(Raw_Bookings!D46))="east","East",IF(TRIM(LOWER(Raw_Bookings!D46))="west","West",IF(TRIM(LOWER(Raw_Bookings!D46))="central","Central",IF(TRIM(LOWER(Raw_Bookings!D46))="south","South","UNKNOWN"))))</f>
        <v/>
      </c>
      <c r="C45">
        <f>IFERROR(Raw_Bookings!H46*VLOOKUP(Raw_Bookings!I46,Rates!$A$2:$B$6,2,FALSE),Raw_Bookings!H46)</f>
        <v/>
      </c>
      <c r="D45">
        <f>IF(Raw_Bookings!F46="New License","NEW",IF(OR(Raw_Bookings!F46="Renewal",Raw_Bookings!F46="Support"),"RECURRING","OTHER"))</f>
        <v/>
      </c>
      <c r="E45">
        <f>IFERROR(VLOOKUP(Raw_Bookings!G46,Rep_Master!$A$2:$D$18,3,FALSE),"")</f>
        <v/>
      </c>
      <c r="F45">
        <f>IFERROR(VLOOKUP(E45,Rep_Targets!$A$2:$D$9,4,FALSE),0)</f>
        <v/>
      </c>
      <c r="G45">
        <f>IF(F45=0,"NO QUOTA FOUND",IF(C45&gt;=F45*0.25,"On Track","Behind"))</f>
        <v/>
      </c>
      <c r="H45">
        <f>C45*IF(B45="West",0.95,1)</f>
        <v/>
      </c>
    </row>
    <row r="46">
      <c r="A46">
        <f>Raw_Bookings!A47</f>
        <v/>
      </c>
      <c r="B46">
        <f>IF(TRIM(LOWER(Raw_Bookings!D47))="east","East",IF(TRIM(LOWER(Raw_Bookings!D47))="west","West",IF(TRIM(LOWER(Raw_Bookings!D47))="central","Central",IF(TRIM(LOWER(Raw_Bookings!D47))="south","South","UNKNOWN"))))</f>
        <v/>
      </c>
      <c r="C46">
        <f>IFERROR(Raw_Bookings!H47*VLOOKUP(Raw_Bookings!I47,Rates!$A$2:$B$6,2,FALSE),Raw_Bookings!H47)</f>
        <v/>
      </c>
      <c r="D46">
        <f>IF(Raw_Bookings!F47="New License","NEW",IF(OR(Raw_Bookings!F47="Renewal",Raw_Bookings!F47="Support"),"RECURRING","OTHER"))</f>
        <v/>
      </c>
      <c r="E46">
        <f>IFERROR(VLOOKUP(Raw_Bookings!G47,Rep_Master!$A$2:$D$18,3,FALSE),"")</f>
        <v/>
      </c>
      <c r="F46">
        <f>IFERROR(VLOOKUP(E46,Rep_Targets!$A$2:$D$9,4,FALSE),0)</f>
        <v/>
      </c>
      <c r="G46">
        <f>IF(F46=0,"NO QUOTA FOUND",IF(C46&gt;=F46*0.25,"On Track","Behind"))</f>
        <v/>
      </c>
      <c r="H46">
        <f>C46*IF(B46="West",0.95,1)</f>
        <v/>
      </c>
    </row>
    <row r="47">
      <c r="A47">
        <f>Raw_Bookings!A48</f>
        <v/>
      </c>
      <c r="B47">
        <f>IF(TRIM(LOWER(Raw_Bookings!D48))="east","East",IF(TRIM(LOWER(Raw_Bookings!D48))="west","West",IF(TRIM(LOWER(Raw_Bookings!D48))="central","Central",IF(TRIM(LOWER(Raw_Bookings!D48))="south","South","UNKNOWN"))))</f>
        <v/>
      </c>
      <c r="C47">
        <f>IFERROR(Raw_Bookings!H48*VLOOKUP(Raw_Bookings!I48,Rates!$A$2:$B$6,2,FALSE),Raw_Bookings!H48)</f>
        <v/>
      </c>
      <c r="D47">
        <f>IF(Raw_Bookings!F48="New License","NEW",IF(OR(Raw_Bookings!F48="Renewal",Raw_Bookings!F48="Support"),"RECURRING","OTHER"))</f>
        <v/>
      </c>
      <c r="E47">
        <f>IFERROR(VLOOKUP(Raw_Bookings!G48,Rep_Master!$A$2:$D$18,3,FALSE),"")</f>
        <v/>
      </c>
      <c r="F47">
        <f>IFERROR(VLOOKUP(E47,Rep_Targets!$A$2:$D$9,4,FALSE),0)</f>
        <v/>
      </c>
      <c r="G47">
        <f>IF(F47=0,"NO QUOTA FOUND",IF(C47&gt;=F47*0.25,"On Track","Behind"))</f>
        <v/>
      </c>
      <c r="H47">
        <f>C47*IF(B47="West",0.95,1)</f>
        <v/>
      </c>
    </row>
    <row r="48">
      <c r="A48">
        <f>Raw_Bookings!A49</f>
        <v/>
      </c>
      <c r="B48">
        <f>IF(TRIM(LOWER(Raw_Bookings!D49))="east","East",IF(TRIM(LOWER(Raw_Bookings!D49))="west","West",IF(TRIM(LOWER(Raw_Bookings!D49))="central","Central",IF(TRIM(LOWER(Raw_Bookings!D49))="south","South","UNKNOWN"))))</f>
        <v/>
      </c>
      <c r="C48">
        <f>IFERROR(Raw_Bookings!H49*VLOOKUP(Raw_Bookings!I49,Rates!$A$2:$B$6,2,FALSE),Raw_Bookings!H49)</f>
        <v/>
      </c>
      <c r="D48">
        <f>IF(Raw_Bookings!F49="New License","NEW",IF(OR(Raw_Bookings!F49="Renewal",Raw_Bookings!F49="Support"),"RECURRING","OTHER"))</f>
        <v/>
      </c>
      <c r="E48">
        <f>IFERROR(VLOOKUP(Raw_Bookings!G49,Rep_Master!$A$2:$D$18,3,FALSE),"")</f>
        <v/>
      </c>
      <c r="F48">
        <f>IFERROR(VLOOKUP(E48,Rep_Targets!$A$2:$D$9,4,FALSE),0)</f>
        <v/>
      </c>
      <c r="G48">
        <f>IF(F48=0,"NO QUOTA FOUND",IF(C48&gt;=F48*0.25,"On Track","Behind"))</f>
        <v/>
      </c>
      <c r="H48">
        <f>C48*IF(B48="West",0.95,1)</f>
        <v/>
      </c>
    </row>
    <row r="49">
      <c r="A49">
        <f>Raw_Bookings!A50</f>
        <v/>
      </c>
      <c r="B49">
        <f>IF(TRIM(LOWER(Raw_Bookings!D50))="east","East",IF(TRIM(LOWER(Raw_Bookings!D50))="west","West",IF(TRIM(LOWER(Raw_Bookings!D50))="central","Central",IF(TRIM(LOWER(Raw_Bookings!D50))="south","South","UNKNOWN"))))</f>
        <v/>
      </c>
      <c r="C49">
        <f>IFERROR(Raw_Bookings!H50*VLOOKUP(Raw_Bookings!I50,Rates!$A$2:$B$6,2,FALSE),Raw_Bookings!H50)</f>
        <v/>
      </c>
      <c r="D49">
        <f>IF(Raw_Bookings!F50="New License","NEW",IF(OR(Raw_Bookings!F50="Renewal",Raw_Bookings!F50="Support"),"RECURRING","OTHER"))</f>
        <v/>
      </c>
      <c r="E49">
        <f>IFERROR(VLOOKUP(Raw_Bookings!G50,Rep_Master!$A$2:$D$18,3,FALSE),"")</f>
        <v/>
      </c>
      <c r="F49">
        <f>IFERROR(VLOOKUP(E49,Rep_Targets!$A$2:$D$9,4,FALSE),0)</f>
        <v/>
      </c>
      <c r="G49">
        <f>IF(F49=0,"NO QUOTA FOUND",IF(C49&gt;=F49*0.25,"On Track","Behind"))</f>
        <v/>
      </c>
      <c r="H49">
        <f>C49*IF(B49="West",0.95,1)</f>
        <v/>
      </c>
    </row>
    <row r="50">
      <c r="A50">
        <f>Raw_Bookings!A51</f>
        <v/>
      </c>
      <c r="B50">
        <f>IF(TRIM(LOWER(Raw_Bookings!D51))="east","East",IF(TRIM(LOWER(Raw_Bookings!D51))="west","West",IF(TRIM(LOWER(Raw_Bookings!D51))="central","Central",IF(TRIM(LOWER(Raw_Bookings!D51))="south","South","UNKNOWN"))))</f>
        <v/>
      </c>
      <c r="C50">
        <f>IFERROR(Raw_Bookings!H51*VLOOKUP(Raw_Bookings!I51,Rates!$A$2:$B$6,2,FALSE),Raw_Bookings!H51)</f>
        <v/>
      </c>
      <c r="D50">
        <f>IF(Raw_Bookings!F51="New License","NEW",IF(OR(Raw_Bookings!F51="Renewal",Raw_Bookings!F51="Support"),"RECURRING","OTHER"))</f>
        <v/>
      </c>
      <c r="E50">
        <f>IFERROR(VLOOKUP(Raw_Bookings!G51,Rep_Master!$A$2:$D$18,3,FALSE),"")</f>
        <v/>
      </c>
      <c r="F50">
        <f>IFERROR(VLOOKUP(E50,Rep_Targets!$A$2:$D$9,4,FALSE),0)</f>
        <v/>
      </c>
      <c r="G50">
        <f>IF(F50=0,"NO QUOTA FOUND",IF(C50&gt;=F50*0.25,"On Track","Behind"))</f>
        <v/>
      </c>
      <c r="H50">
        <f>C50*IF(B50="West",0.95,1)</f>
        <v/>
      </c>
    </row>
    <row r="51">
      <c r="A51">
        <f>Raw_Bookings!A52</f>
        <v/>
      </c>
      <c r="B51">
        <f>IF(TRIM(LOWER(Raw_Bookings!D52))="east","East",IF(TRIM(LOWER(Raw_Bookings!D52))="west","West",IF(TRIM(LOWER(Raw_Bookings!D52))="central","Central",IF(TRIM(LOWER(Raw_Bookings!D52))="south","South","UNKNOWN"))))</f>
        <v/>
      </c>
      <c r="C51">
        <f>IFERROR(Raw_Bookings!H52*VLOOKUP(Raw_Bookings!I52,Rates!$A$2:$B$6,2,FALSE),Raw_Bookings!H52)</f>
        <v/>
      </c>
      <c r="D51">
        <f>IF(Raw_Bookings!F52="New License","NEW",IF(OR(Raw_Bookings!F52="Renewal",Raw_Bookings!F52="Support"),"RECURRING","OTHER"))</f>
        <v/>
      </c>
      <c r="E51">
        <f>IFERROR(VLOOKUP(Raw_Bookings!G52,Rep_Master!$A$2:$D$18,3,FALSE),"")</f>
        <v/>
      </c>
      <c r="F51">
        <f>IFERROR(VLOOKUP(E51,Rep_Targets!$A$2:$D$9,4,FALSE),0)</f>
        <v/>
      </c>
      <c r="G51">
        <f>IF(F51=0,"NO QUOTA FOUND",IF(C51&gt;=F51*0.25,"On Track","Behind"))</f>
        <v/>
      </c>
      <c r="H51">
        <f>C51*IF(B51="West",0.95,1)</f>
        <v/>
      </c>
    </row>
    <row r="52">
      <c r="A52">
        <f>Raw_Bookings!A53</f>
        <v/>
      </c>
      <c r="B52">
        <f>IF(TRIM(LOWER(Raw_Bookings!D53))="east","East",IF(TRIM(LOWER(Raw_Bookings!D53))="west","West",IF(TRIM(LOWER(Raw_Bookings!D53))="central","Central",IF(TRIM(LOWER(Raw_Bookings!D53))="south","South","UNKNOWN"))))</f>
        <v/>
      </c>
      <c r="C52">
        <f>IFERROR(Raw_Bookings!H53*VLOOKUP(Raw_Bookings!I53,Rates!$A$2:$B$6,2,FALSE),Raw_Bookings!H53)</f>
        <v/>
      </c>
      <c r="D52">
        <f>IF(Raw_Bookings!F53="New License","NEW",IF(OR(Raw_Bookings!F53="Renewal",Raw_Bookings!F53="Support"),"RECURRING","OTHER"))</f>
        <v/>
      </c>
      <c r="E52">
        <f>IFERROR(VLOOKUP(Raw_Bookings!G53,Rep_Master!$A$2:$D$18,3,FALSE),"")</f>
        <v/>
      </c>
      <c r="F52">
        <f>IFERROR(VLOOKUP(E52,Rep_Targets!$A$2:$D$9,4,FALSE),0)</f>
        <v/>
      </c>
      <c r="G52">
        <f>IF(F52=0,"NO QUOTA FOUND",IF(C52&gt;=F52*0.25,"On Track","Behind"))</f>
        <v/>
      </c>
      <c r="H52">
        <f>C52*IF(B52="West",0.95,1)</f>
        <v/>
      </c>
    </row>
    <row r="53">
      <c r="A53">
        <f>Raw_Bookings!A54</f>
        <v/>
      </c>
      <c r="B53">
        <f>IF(TRIM(LOWER(Raw_Bookings!D54))="east","East",IF(TRIM(LOWER(Raw_Bookings!D54))="west","West",IF(TRIM(LOWER(Raw_Bookings!D54))="central","Central",IF(TRIM(LOWER(Raw_Bookings!D54))="south","South","UNKNOWN"))))</f>
        <v/>
      </c>
      <c r="C53">
        <f>IFERROR(Raw_Bookings!H54*VLOOKUP(Raw_Bookings!I54,Rates!$A$2:$B$6,2,FALSE),Raw_Bookings!H54)</f>
        <v/>
      </c>
      <c r="D53">
        <f>IF(Raw_Bookings!F54="New License","NEW",IF(OR(Raw_Bookings!F54="Renewal",Raw_Bookings!F54="Support"),"RECURRING","OTHER"))</f>
        <v/>
      </c>
      <c r="E53">
        <f>IFERROR(VLOOKUP(Raw_Bookings!G54,Rep_Master!$A$2:$D$18,3,FALSE),"")</f>
        <v/>
      </c>
      <c r="F53">
        <f>IFERROR(VLOOKUP(E53,Rep_Targets!$A$2:$D$9,4,FALSE),0)</f>
        <v/>
      </c>
      <c r="G53">
        <f>IF(F53=0,"NO QUOTA FOUND",IF(C53&gt;=F53*0.25,"On Track","Behind"))</f>
        <v/>
      </c>
      <c r="H53">
        <f>C53*IF(B53="West",0.95,1)</f>
        <v/>
      </c>
    </row>
    <row r="54">
      <c r="A54">
        <f>Raw_Bookings!A55</f>
        <v/>
      </c>
      <c r="B54">
        <f>IF(TRIM(LOWER(Raw_Bookings!D55))="east","East",IF(TRIM(LOWER(Raw_Bookings!D55))="west","West",IF(TRIM(LOWER(Raw_Bookings!D55))="central","Central",IF(TRIM(LOWER(Raw_Bookings!D55))="south","South","UNKNOWN"))))</f>
        <v/>
      </c>
      <c r="C54">
        <f>IFERROR(Raw_Bookings!H55*VLOOKUP(Raw_Bookings!I55,Rates!$A$2:$B$6,2,FALSE),Raw_Bookings!H55)</f>
        <v/>
      </c>
      <c r="D54">
        <f>IF(Raw_Bookings!F55="New License","NEW",IF(OR(Raw_Bookings!F55="Renewal",Raw_Bookings!F55="Support"),"RECURRING","OTHER"))</f>
        <v/>
      </c>
      <c r="E54">
        <f>IFERROR(VLOOKUP(Raw_Bookings!G55,Rep_Master!$A$2:$D$18,3,FALSE),"")</f>
        <v/>
      </c>
      <c r="F54">
        <f>IFERROR(VLOOKUP(E54,Rep_Targets!$A$2:$D$9,4,FALSE),0)</f>
        <v/>
      </c>
      <c r="G54">
        <f>IF(F54=0,"NO QUOTA FOUND",IF(C54&gt;=F54*0.25,"On Track","Behind"))</f>
        <v/>
      </c>
      <c r="H54">
        <f>C54*IF(B54="West",0.95,1)</f>
        <v/>
      </c>
    </row>
    <row r="55">
      <c r="A55">
        <f>Raw_Bookings!A56</f>
        <v/>
      </c>
      <c r="B55">
        <f>IF(TRIM(LOWER(Raw_Bookings!D56))="east","East",IF(TRIM(LOWER(Raw_Bookings!D56))="west","West",IF(TRIM(LOWER(Raw_Bookings!D56))="central","Central",IF(TRIM(LOWER(Raw_Bookings!D56))="south","South","UNKNOWN"))))</f>
        <v/>
      </c>
      <c r="C55">
        <f>IFERROR(Raw_Bookings!H56*VLOOKUP(Raw_Bookings!I56,Rates!$A$2:$B$6,2,FALSE),Raw_Bookings!H56)</f>
        <v/>
      </c>
      <c r="D55">
        <f>IF(Raw_Bookings!F56="New License","NEW",IF(OR(Raw_Bookings!F56="Renewal",Raw_Bookings!F56="Support"),"RECURRING","OTHER"))</f>
        <v/>
      </c>
      <c r="E55">
        <f>IFERROR(VLOOKUP(Raw_Bookings!G56,Rep_Master!$A$2:$D$18,3,FALSE),"")</f>
        <v/>
      </c>
      <c r="F55">
        <f>IFERROR(VLOOKUP(E55,Rep_Targets!$A$2:$D$9,4,FALSE),0)</f>
        <v/>
      </c>
      <c r="G55">
        <f>IF(F55=0,"NO QUOTA FOUND",IF(C55&gt;=F55*0.25,"On Track","Behind"))</f>
        <v/>
      </c>
      <c r="H55">
        <f>C55*IF(B55="West",0.95,1)</f>
        <v/>
      </c>
    </row>
    <row r="56">
      <c r="A56">
        <f>Raw_Bookings!A57</f>
        <v/>
      </c>
      <c r="B56">
        <f>IF(TRIM(LOWER(Raw_Bookings!D57))="east","East",IF(TRIM(LOWER(Raw_Bookings!D57))="west","West",IF(TRIM(LOWER(Raw_Bookings!D57))="central","Central",IF(TRIM(LOWER(Raw_Bookings!D57))="south","South","UNKNOWN"))))</f>
        <v/>
      </c>
      <c r="C56">
        <f>IFERROR(Raw_Bookings!H57*VLOOKUP(Raw_Bookings!I57,Rates!$A$2:$B$6,2,FALSE),Raw_Bookings!H57)</f>
        <v/>
      </c>
      <c r="D56">
        <f>IF(Raw_Bookings!F57="New License","NEW",IF(OR(Raw_Bookings!F57="Renewal",Raw_Bookings!F57="Support"),"RECURRING","OTHER"))</f>
        <v/>
      </c>
      <c r="E56">
        <f>IFERROR(VLOOKUP(Raw_Bookings!G57,Rep_Master!$A$2:$D$18,3,FALSE),"")</f>
        <v/>
      </c>
      <c r="F56">
        <f>IFERROR(VLOOKUP(E56,Rep_Targets!$A$2:$D$9,4,FALSE),0)</f>
        <v/>
      </c>
      <c r="G56">
        <f>IF(F56=0,"NO QUOTA FOUND",IF(C56&gt;=F56*0.25,"On Track","Behind"))</f>
        <v/>
      </c>
      <c r="H56">
        <f>C56*IF(B56="West",0.95,1)</f>
        <v/>
      </c>
    </row>
    <row r="57">
      <c r="A57">
        <f>Raw_Bookings!A58</f>
        <v/>
      </c>
      <c r="B57">
        <f>IF(TRIM(LOWER(Raw_Bookings!D58))="east","East",IF(TRIM(LOWER(Raw_Bookings!D58))="west","West",IF(TRIM(LOWER(Raw_Bookings!D58))="central","Central",IF(TRIM(LOWER(Raw_Bookings!D58))="south","South","UNKNOWN"))))</f>
        <v/>
      </c>
      <c r="C57">
        <f>IFERROR(Raw_Bookings!H58*VLOOKUP(Raw_Bookings!I58,Rates!$A$2:$B$6,2,FALSE),Raw_Bookings!H58)</f>
        <v/>
      </c>
      <c r="D57">
        <f>IF(Raw_Bookings!F58="New License","NEW",IF(OR(Raw_Bookings!F58="Renewal",Raw_Bookings!F58="Support"),"RECURRING","OTHER"))</f>
        <v/>
      </c>
      <c r="E57">
        <f>IFERROR(VLOOKUP(Raw_Bookings!G58,Rep_Master!$A$2:$D$18,3,FALSE),"")</f>
        <v/>
      </c>
      <c r="F57">
        <f>IFERROR(VLOOKUP(E57,Rep_Targets!$A$2:$D$9,4,FALSE),0)</f>
        <v/>
      </c>
      <c r="G57">
        <f>IF(F57=0,"NO QUOTA FOUND",IF(C57&gt;=F57*0.25,"On Track","Behind"))</f>
        <v/>
      </c>
      <c r="H57">
        <f>C57*IF(B57="West",0.95,1)</f>
        <v/>
      </c>
    </row>
    <row r="58">
      <c r="A58">
        <f>Raw_Bookings!A59</f>
        <v/>
      </c>
      <c r="B58">
        <f>IF(TRIM(LOWER(Raw_Bookings!D59))="east","East",IF(TRIM(LOWER(Raw_Bookings!D59))="west","West",IF(TRIM(LOWER(Raw_Bookings!D59))="central","Central",IF(TRIM(LOWER(Raw_Bookings!D59))="south","South","UNKNOWN"))))</f>
        <v/>
      </c>
      <c r="C58">
        <f>IFERROR(Raw_Bookings!H59*VLOOKUP(Raw_Bookings!I59,Rates!$A$2:$B$6,2,FALSE),Raw_Bookings!H59)</f>
        <v/>
      </c>
      <c r="D58">
        <f>IF(Raw_Bookings!F59="New License","NEW",IF(OR(Raw_Bookings!F59="Renewal",Raw_Bookings!F59="Support"),"RECURRING","OTHER"))</f>
        <v/>
      </c>
      <c r="E58">
        <f>IFERROR(VLOOKUP(Raw_Bookings!G59,Rep_Master!$A$2:$D$18,3,FALSE),"")</f>
        <v/>
      </c>
      <c r="F58">
        <f>IFERROR(VLOOKUP(E58,Rep_Targets!$A$2:$D$9,4,FALSE),0)</f>
        <v/>
      </c>
      <c r="G58">
        <f>IF(F58=0,"NO QUOTA FOUND",IF(C58&gt;=F58*0.25,"On Track","Behind"))</f>
        <v/>
      </c>
      <c r="H58">
        <f>C58*IF(B58="West",0.95,1)</f>
        <v/>
      </c>
    </row>
    <row r="59">
      <c r="A59">
        <f>Raw_Bookings!A60</f>
        <v/>
      </c>
      <c r="B59">
        <f>IF(TRIM(LOWER(Raw_Bookings!D60))="east","East",IF(TRIM(LOWER(Raw_Bookings!D60))="west","West",IF(TRIM(LOWER(Raw_Bookings!D60))="central","Central",IF(TRIM(LOWER(Raw_Bookings!D60))="south","South","UNKNOWN"))))</f>
        <v/>
      </c>
      <c r="C59">
        <f>IFERROR(Raw_Bookings!H60*VLOOKUP(Raw_Bookings!I60,Rates!$A$2:$B$6,2,FALSE),Raw_Bookings!H60)</f>
        <v/>
      </c>
      <c r="D59">
        <f>IF(Raw_Bookings!F60="New License","NEW",IF(OR(Raw_Bookings!F60="Renewal",Raw_Bookings!F60="Support"),"RECURRING","OTHER"))</f>
        <v/>
      </c>
      <c r="E59">
        <f>IFERROR(VLOOKUP(Raw_Bookings!G60,Rep_Master!$A$2:$D$18,3,FALSE),"")</f>
        <v/>
      </c>
      <c r="F59">
        <f>IFERROR(VLOOKUP(E59,Rep_Targets!$A$2:$D$9,4,FALSE),0)</f>
        <v/>
      </c>
      <c r="G59">
        <f>IF(F59=0,"NO QUOTA FOUND",IF(C59&gt;=F59*0.25,"On Track","Behind"))</f>
        <v/>
      </c>
      <c r="H59">
        <f>C59*IF(B59="West",0.95,1)</f>
        <v/>
      </c>
    </row>
    <row r="60">
      <c r="A60">
        <f>Raw_Bookings!A61</f>
        <v/>
      </c>
      <c r="B60">
        <f>IF(TRIM(LOWER(Raw_Bookings!D61))="east","East",IF(TRIM(LOWER(Raw_Bookings!D61))="west","West",IF(TRIM(LOWER(Raw_Bookings!D61))="central","Central",IF(TRIM(LOWER(Raw_Bookings!D61))="south","South","UNKNOWN"))))</f>
        <v/>
      </c>
      <c r="C60">
        <f>IFERROR(Raw_Bookings!H61*VLOOKUP(Raw_Bookings!I61,Rates!$A$2:$B$6,2,FALSE),Raw_Bookings!H61)</f>
        <v/>
      </c>
      <c r="D60">
        <f>IF(Raw_Bookings!F61="New License","NEW",IF(OR(Raw_Bookings!F61="Renewal",Raw_Bookings!F61="Support"),"RECURRING","OTHER"))</f>
        <v/>
      </c>
      <c r="E60">
        <f>IFERROR(VLOOKUP(Raw_Bookings!G61,Rep_Master!$A$2:$D$18,3,FALSE),"")</f>
        <v/>
      </c>
      <c r="F60">
        <f>IFERROR(VLOOKUP(E60,Rep_Targets!$A$2:$D$9,4,FALSE),0)</f>
        <v/>
      </c>
      <c r="G60">
        <f>IF(F60=0,"NO QUOTA FOUND",IF(C60&gt;=F60*0.25,"On Track","Behind"))</f>
        <v/>
      </c>
      <c r="H60">
        <f>C60*IF(B60="West",0.95,1)</f>
        <v/>
      </c>
    </row>
    <row r="61">
      <c r="A61">
        <f>Raw_Bookings!A62</f>
        <v/>
      </c>
      <c r="B61">
        <f>IF(TRIM(LOWER(Raw_Bookings!D62))="east","East",IF(TRIM(LOWER(Raw_Bookings!D62))="west","West",IF(TRIM(LOWER(Raw_Bookings!D62))="central","Central",IF(TRIM(LOWER(Raw_Bookings!D62))="south","South","UNKNOWN"))))</f>
        <v/>
      </c>
      <c r="C61">
        <f>IFERROR(Raw_Bookings!H62*VLOOKUP(Raw_Bookings!I62,Rates!$A$2:$B$6,2,FALSE),Raw_Bookings!H62)</f>
        <v/>
      </c>
      <c r="D61">
        <f>IF(Raw_Bookings!F62="New License","NEW",IF(OR(Raw_Bookings!F62="Renewal",Raw_Bookings!F62="Support"),"RECURRING","OTHER"))</f>
        <v/>
      </c>
      <c r="E61">
        <f>IFERROR(VLOOKUP(Raw_Bookings!G62,Rep_Master!$A$2:$D$18,3,FALSE),"")</f>
        <v/>
      </c>
      <c r="F61">
        <f>IFERROR(VLOOKUP(E61,Rep_Targets!$A$2:$D$9,4,FALSE),0)</f>
        <v/>
      </c>
      <c r="G61">
        <f>IF(F61=0,"NO QUOTA FOUND",IF(C61&gt;=F61*0.25,"On Track","Behind"))</f>
        <v/>
      </c>
      <c r="H61">
        <f>C61*IF(B61="West",0.95,1)</f>
        <v/>
      </c>
    </row>
    <row r="62">
      <c r="A62">
        <f>Raw_Bookings!A63</f>
        <v/>
      </c>
      <c r="B62">
        <f>IF(TRIM(LOWER(Raw_Bookings!D63))="east","East",IF(TRIM(LOWER(Raw_Bookings!D63))="west","West",IF(TRIM(LOWER(Raw_Bookings!D63))="central","Central",IF(TRIM(LOWER(Raw_Bookings!D63))="south","South","UNKNOWN"))))</f>
        <v/>
      </c>
      <c r="C62">
        <f>IFERROR(Raw_Bookings!H63*VLOOKUP(Raw_Bookings!I63,Rates!$A$2:$B$6,2,FALSE),Raw_Bookings!H63)</f>
        <v/>
      </c>
      <c r="D62">
        <f>IF(Raw_Bookings!F63="New License","NEW",IF(OR(Raw_Bookings!F63="Renewal",Raw_Bookings!F63="Support"),"RECURRING","OTHER"))</f>
        <v/>
      </c>
      <c r="E62">
        <f>IFERROR(VLOOKUP(Raw_Bookings!G63,Rep_Master!$A$2:$D$18,3,FALSE),"")</f>
        <v/>
      </c>
      <c r="F62">
        <f>IFERROR(VLOOKUP(E62,Rep_Targets!$A$2:$D$9,4,FALSE),0)</f>
        <v/>
      </c>
      <c r="G62">
        <f>IF(F62=0,"NO QUOTA FOUND",IF(C62&gt;=F62*0.25,"On Track","Behind"))</f>
        <v/>
      </c>
      <c r="H62">
        <f>C62*IF(B62="West",0.95,1)</f>
        <v/>
      </c>
    </row>
    <row r="63">
      <c r="A63">
        <f>Raw_Bookings!A64</f>
        <v/>
      </c>
      <c r="B63">
        <f>IF(TRIM(LOWER(Raw_Bookings!D64))="east","East",IF(TRIM(LOWER(Raw_Bookings!D64))="west","West",IF(TRIM(LOWER(Raw_Bookings!D64))="central","Central",IF(TRIM(LOWER(Raw_Bookings!D64))="south","South","UNKNOWN"))))</f>
        <v/>
      </c>
      <c r="C63">
        <f>IFERROR(Raw_Bookings!H64*VLOOKUP(Raw_Bookings!I64,Rates!$A$2:$B$6,2,FALSE),Raw_Bookings!H64)</f>
        <v/>
      </c>
      <c r="D63">
        <f>IF(Raw_Bookings!F64="New License","NEW",IF(OR(Raw_Bookings!F64="Renewal",Raw_Bookings!F64="Support"),"RECURRING","OTHER"))</f>
        <v/>
      </c>
      <c r="E63">
        <f>IFERROR(VLOOKUP(Raw_Bookings!G64,Rep_Master!$A$2:$D$18,3,FALSE),"")</f>
        <v/>
      </c>
      <c r="F63">
        <f>IFERROR(VLOOKUP(E63,Rep_Targets!$A$2:$D$9,4,FALSE),0)</f>
        <v/>
      </c>
      <c r="G63">
        <f>IF(F63=0,"NO QUOTA FOUND",IF(C63&gt;=F63*0.25,"On Track","Behind"))</f>
        <v/>
      </c>
      <c r="H63">
        <f>C63*IF(B63="West",0.95,1)</f>
        <v/>
      </c>
    </row>
    <row r="64">
      <c r="A64">
        <f>Raw_Bookings!A65</f>
        <v/>
      </c>
      <c r="B64">
        <f>IF(TRIM(LOWER(Raw_Bookings!D65))="east","East",IF(TRIM(LOWER(Raw_Bookings!D65))="west","West",IF(TRIM(LOWER(Raw_Bookings!D65))="central","Central",IF(TRIM(LOWER(Raw_Bookings!D65))="south","South","UNKNOWN"))))</f>
        <v/>
      </c>
      <c r="C64">
        <f>IFERROR(Raw_Bookings!H65*VLOOKUP(Raw_Bookings!I65,Rates!$A$2:$B$6,2,FALSE),Raw_Bookings!H65)</f>
        <v/>
      </c>
      <c r="D64">
        <f>IF(Raw_Bookings!F65="New License","NEW",IF(OR(Raw_Bookings!F65="Renewal",Raw_Bookings!F65="Support"),"RECURRING","OTHER"))</f>
        <v/>
      </c>
      <c r="E64">
        <f>IFERROR(VLOOKUP(Raw_Bookings!G65,Rep_Master!$A$2:$D$18,3,FALSE),"")</f>
        <v/>
      </c>
      <c r="F64">
        <f>IFERROR(VLOOKUP(E64,Rep_Targets!$A$2:$D$9,4,FALSE),0)</f>
        <v/>
      </c>
      <c r="G64">
        <f>IF(F64=0,"NO QUOTA FOUND",IF(C64&gt;=F64*0.25,"On Track","Behind"))</f>
        <v/>
      </c>
      <c r="H64">
        <f>C64*IF(B64="West",0.95,1)</f>
        <v/>
      </c>
    </row>
    <row r="65">
      <c r="A65">
        <f>Raw_Bookings!A66</f>
        <v/>
      </c>
      <c r="B65">
        <f>IF(TRIM(LOWER(Raw_Bookings!D66))="east","East",IF(TRIM(LOWER(Raw_Bookings!D66))="west","West",IF(TRIM(LOWER(Raw_Bookings!D66))="central","Central",IF(TRIM(LOWER(Raw_Bookings!D66))="south","South","UNKNOWN"))))</f>
        <v/>
      </c>
      <c r="C65">
        <f>IFERROR(Raw_Bookings!H66*VLOOKUP(Raw_Bookings!I66,Rates!$A$2:$B$6,2,FALSE),Raw_Bookings!H66)</f>
        <v/>
      </c>
      <c r="D65">
        <f>IF(Raw_Bookings!F66="New License","NEW",IF(OR(Raw_Bookings!F66="Renewal",Raw_Bookings!F66="Support"),"RECURRING","OTHER"))</f>
        <v/>
      </c>
      <c r="E65">
        <f>IFERROR(VLOOKUP(Raw_Bookings!G66,Rep_Master!$A$2:$D$18,3,FALSE),"")</f>
        <v/>
      </c>
      <c r="F65">
        <f>IFERROR(VLOOKUP(E65,Rep_Targets!$A$2:$D$9,4,FALSE),0)</f>
        <v/>
      </c>
      <c r="G65">
        <f>IF(F65=0,"NO QUOTA FOUND",IF(C65&gt;=F65*0.25,"On Track","Behind"))</f>
        <v/>
      </c>
      <c r="H65">
        <f>C65*IF(B65="West",0.95,1)</f>
        <v/>
      </c>
    </row>
    <row r="66">
      <c r="A66">
        <f>Raw_Bookings!A67</f>
        <v/>
      </c>
      <c r="B66">
        <f>IF(TRIM(LOWER(Raw_Bookings!D67))="east","East",IF(TRIM(LOWER(Raw_Bookings!D67))="west","West",IF(TRIM(LOWER(Raw_Bookings!D67))="central","Central",IF(TRIM(LOWER(Raw_Bookings!D67))="south","South","UNKNOWN"))))</f>
        <v/>
      </c>
      <c r="C66">
        <f>IFERROR(Raw_Bookings!H67*VLOOKUP(Raw_Bookings!I67,Rates!$A$2:$B$6,2,FALSE),Raw_Bookings!H67)</f>
        <v/>
      </c>
      <c r="D66">
        <f>IF(Raw_Bookings!F67="New License","NEW",IF(OR(Raw_Bookings!F67="Renewal",Raw_Bookings!F67="Support"),"RECURRING","OTHER"))</f>
        <v/>
      </c>
      <c r="E66">
        <f>IFERROR(VLOOKUP(Raw_Bookings!G67,Rep_Master!$A$2:$D$18,3,FALSE),"")</f>
        <v/>
      </c>
      <c r="F66">
        <f>IFERROR(VLOOKUP(E66,Rep_Targets!$A$2:$D$9,4,FALSE),0)</f>
        <v/>
      </c>
      <c r="G66">
        <f>IF(F66=0,"NO QUOTA FOUND",IF(C66&gt;=F66*0.25,"On Track","Behind"))</f>
        <v/>
      </c>
      <c r="H66">
        <f>C66*IF(B66="West",0.95,1)</f>
        <v/>
      </c>
    </row>
    <row r="67">
      <c r="A67">
        <f>Raw_Bookings!A68</f>
        <v/>
      </c>
      <c r="B67">
        <f>IF(TRIM(LOWER(Raw_Bookings!D68))="east","East",IF(TRIM(LOWER(Raw_Bookings!D68))="west","West",IF(TRIM(LOWER(Raw_Bookings!D68))="central","Central",IF(TRIM(LOWER(Raw_Bookings!D68))="south","South","UNKNOWN"))))</f>
        <v/>
      </c>
      <c r="C67">
        <f>IFERROR(Raw_Bookings!H68*VLOOKUP(Raw_Bookings!I68,Rates!$A$2:$B$6,2,FALSE),Raw_Bookings!H68)</f>
        <v/>
      </c>
      <c r="D67">
        <f>IF(Raw_Bookings!F68="New License","NEW",IF(OR(Raw_Bookings!F68="Renewal",Raw_Bookings!F68="Support"),"RECURRING","OTHER"))</f>
        <v/>
      </c>
      <c r="E67">
        <f>IFERROR(VLOOKUP(Raw_Bookings!G68,Rep_Master!$A$2:$D$18,3,FALSE),"")</f>
        <v/>
      </c>
      <c r="F67">
        <f>IFERROR(VLOOKUP(E67,Rep_Targets!$A$2:$D$9,4,FALSE),0)</f>
        <v/>
      </c>
      <c r="G67">
        <f>IF(F67=0,"NO QUOTA FOUND",IF(C67&gt;=F67*0.25,"On Track","Behind"))</f>
        <v/>
      </c>
      <c r="H67">
        <f>C67*IF(B67="West",0.95,1)</f>
        <v/>
      </c>
    </row>
    <row r="68">
      <c r="A68">
        <f>Raw_Bookings!A69</f>
        <v/>
      </c>
      <c r="B68">
        <f>IF(TRIM(LOWER(Raw_Bookings!D69))="east","East",IF(TRIM(LOWER(Raw_Bookings!D69))="west","West",IF(TRIM(LOWER(Raw_Bookings!D69))="central","Central",IF(TRIM(LOWER(Raw_Bookings!D69))="south","South","UNKNOWN"))))</f>
        <v/>
      </c>
      <c r="C68">
        <f>IFERROR(Raw_Bookings!H69*VLOOKUP(Raw_Bookings!I69,Rates!$A$2:$B$6,2,FALSE),Raw_Bookings!H69)</f>
        <v/>
      </c>
      <c r="D68">
        <f>IF(Raw_Bookings!F69="New License","NEW",IF(OR(Raw_Bookings!F69="Renewal",Raw_Bookings!F69="Support"),"RECURRING","OTHER"))</f>
        <v/>
      </c>
      <c r="E68">
        <f>IFERROR(VLOOKUP(Raw_Bookings!G69,Rep_Master!$A$2:$D$18,3,FALSE),"")</f>
        <v/>
      </c>
      <c r="F68">
        <f>IFERROR(VLOOKUP(E68,Rep_Targets!$A$2:$D$9,4,FALSE),0)</f>
        <v/>
      </c>
      <c r="G68">
        <f>IF(F68=0,"NO QUOTA FOUND",IF(C68&gt;=F68*0.25,"On Track","Behind"))</f>
        <v/>
      </c>
      <c r="H68">
        <f>C68*IF(B68="West",0.95,1)</f>
        <v/>
      </c>
    </row>
    <row r="69">
      <c r="A69">
        <f>Raw_Bookings!A70</f>
        <v/>
      </c>
      <c r="B69">
        <f>IF(TRIM(LOWER(Raw_Bookings!D70))="east","East",IF(TRIM(LOWER(Raw_Bookings!D70))="west","West",IF(TRIM(LOWER(Raw_Bookings!D70))="central","Central",IF(TRIM(LOWER(Raw_Bookings!D70))="south","South","UNKNOWN"))))</f>
        <v/>
      </c>
      <c r="C69">
        <f>IFERROR(Raw_Bookings!H70*VLOOKUP(Raw_Bookings!I70,Rates!$A$2:$B$6,2,FALSE),Raw_Bookings!H70)</f>
        <v/>
      </c>
      <c r="D69">
        <f>IF(Raw_Bookings!F70="New License","NEW",IF(OR(Raw_Bookings!F70="Renewal",Raw_Bookings!F70="Support"),"RECURRING","OTHER"))</f>
        <v/>
      </c>
      <c r="E69">
        <f>IFERROR(VLOOKUP(Raw_Bookings!G70,Rep_Master!$A$2:$D$18,3,FALSE),"")</f>
        <v/>
      </c>
      <c r="F69">
        <f>IFERROR(VLOOKUP(E69,Rep_Targets!$A$2:$D$9,4,FALSE),0)</f>
        <v/>
      </c>
      <c r="G69">
        <f>IF(F69=0,"NO QUOTA FOUND",IF(C69&gt;=F69*0.25,"On Track","Behind"))</f>
        <v/>
      </c>
      <c r="H69">
        <f>C69*IF(B69="West",0.95,1)</f>
        <v/>
      </c>
    </row>
    <row r="70">
      <c r="A70">
        <f>Raw_Bookings!A71</f>
        <v/>
      </c>
      <c r="B70">
        <f>IF(TRIM(LOWER(Raw_Bookings!D71))="east","East",IF(TRIM(LOWER(Raw_Bookings!D71))="west","West",IF(TRIM(LOWER(Raw_Bookings!D71))="central","Central",IF(TRIM(LOWER(Raw_Bookings!D71))="south","South","UNKNOWN"))))</f>
        <v/>
      </c>
      <c r="C70">
        <f>IFERROR(Raw_Bookings!H71*VLOOKUP(Raw_Bookings!I71,Rates!$A$2:$B$6,2,FALSE),Raw_Bookings!H71)</f>
        <v/>
      </c>
      <c r="D70">
        <f>IF(Raw_Bookings!F71="New License","NEW",IF(OR(Raw_Bookings!F71="Renewal",Raw_Bookings!F71="Support"),"RECURRING","OTHER"))</f>
        <v/>
      </c>
      <c r="E70">
        <f>IFERROR(VLOOKUP(Raw_Bookings!G71,Rep_Master!$A$2:$D$18,3,FALSE),"")</f>
        <v/>
      </c>
      <c r="F70">
        <f>IFERROR(VLOOKUP(E70,Rep_Targets!$A$2:$D$9,4,FALSE),0)</f>
        <v/>
      </c>
      <c r="G70">
        <f>IF(F70=0,"NO QUOTA FOUND",IF(C70&gt;=F70*0.25,"On Track","Behind"))</f>
        <v/>
      </c>
      <c r="H70">
        <f>C70*IF(B70="West",0.95,1)</f>
        <v/>
      </c>
    </row>
    <row r="71">
      <c r="A71">
        <f>Raw_Bookings!A72</f>
        <v/>
      </c>
      <c r="B71">
        <f>IF(TRIM(LOWER(Raw_Bookings!D72))="east","East",IF(TRIM(LOWER(Raw_Bookings!D72))="west","West",IF(TRIM(LOWER(Raw_Bookings!D72))="central","Central",IF(TRIM(LOWER(Raw_Bookings!D72))="south","South","UNKNOWN"))))</f>
        <v/>
      </c>
      <c r="C71">
        <f>IFERROR(Raw_Bookings!H72*VLOOKUP(Raw_Bookings!I72,Rates!$A$2:$B$6,2,FALSE),Raw_Bookings!H72)</f>
        <v/>
      </c>
      <c r="D71">
        <f>IF(Raw_Bookings!F72="New License","NEW",IF(OR(Raw_Bookings!F72="Renewal",Raw_Bookings!F72="Support"),"RECURRING","OTHER"))</f>
        <v/>
      </c>
      <c r="E71">
        <f>IFERROR(VLOOKUP(Raw_Bookings!G72,Rep_Master!$A$2:$D$18,3,FALSE),"")</f>
        <v/>
      </c>
      <c r="F71">
        <f>IFERROR(VLOOKUP(E71,Rep_Targets!$A$2:$D$9,4,FALSE),0)</f>
        <v/>
      </c>
      <c r="G71">
        <f>IF(F71=0,"NO QUOTA FOUND",IF(C71&gt;=F71*0.25,"On Track","Behind"))</f>
        <v/>
      </c>
      <c r="H71">
        <f>C71*IF(B71="West",0.95,1)</f>
        <v/>
      </c>
    </row>
    <row r="72">
      <c r="A72">
        <f>Raw_Bookings!A73</f>
        <v/>
      </c>
      <c r="B72">
        <f>IF(TRIM(LOWER(Raw_Bookings!D73))="east","East",IF(TRIM(LOWER(Raw_Bookings!D73))="west","West",IF(TRIM(LOWER(Raw_Bookings!D73))="central","Central",IF(TRIM(LOWER(Raw_Bookings!D73))="south","South","UNKNOWN"))))</f>
        <v/>
      </c>
      <c r="C72">
        <f>IFERROR(Raw_Bookings!H73*VLOOKUP(Raw_Bookings!I73,Rates!$A$2:$B$6,2,FALSE),Raw_Bookings!H73)</f>
        <v/>
      </c>
      <c r="D72">
        <f>IF(Raw_Bookings!F73="New License","NEW",IF(OR(Raw_Bookings!F73="Renewal",Raw_Bookings!F73="Support"),"RECURRING","OTHER"))</f>
        <v/>
      </c>
      <c r="E72">
        <f>IFERROR(VLOOKUP(Raw_Bookings!G73,Rep_Master!$A$2:$D$18,3,FALSE),"")</f>
        <v/>
      </c>
      <c r="F72">
        <f>IFERROR(VLOOKUP(E72,Rep_Targets!$A$2:$D$9,4,FALSE),0)</f>
        <v/>
      </c>
      <c r="G72">
        <f>IF(F72=0,"NO QUOTA FOUND",IF(C72&gt;=F72*0.25,"On Track","Behind"))</f>
        <v/>
      </c>
      <c r="H72">
        <f>C72*IF(B72="West",0.95,1)</f>
        <v/>
      </c>
    </row>
    <row r="73">
      <c r="A73">
        <f>Raw_Bookings!A74</f>
        <v/>
      </c>
      <c r="B73">
        <f>IF(TRIM(LOWER(Raw_Bookings!D74))="east","East",IF(TRIM(LOWER(Raw_Bookings!D74))="west","West",IF(TRIM(LOWER(Raw_Bookings!D74))="central","Central",IF(TRIM(LOWER(Raw_Bookings!D74))="south","South","UNKNOWN"))))</f>
        <v/>
      </c>
      <c r="C73">
        <f>IFERROR(Raw_Bookings!H74*VLOOKUP(Raw_Bookings!I74,Rates!$A$2:$B$6,2,FALSE),Raw_Bookings!H74)</f>
        <v/>
      </c>
      <c r="D73">
        <f>IF(Raw_Bookings!F74="New License","NEW",IF(OR(Raw_Bookings!F74="Renewal",Raw_Bookings!F74="Support"),"RECURRING","OTHER"))</f>
        <v/>
      </c>
      <c r="E73">
        <f>IFERROR(VLOOKUP(Raw_Bookings!G74,Rep_Master!$A$2:$D$18,3,FALSE),"")</f>
        <v/>
      </c>
      <c r="F73">
        <f>IFERROR(VLOOKUP(E73,Rep_Targets!$A$2:$D$9,4,FALSE),0)</f>
        <v/>
      </c>
      <c r="G73">
        <f>IF(F73=0,"NO QUOTA FOUND",IF(C73&gt;=F73*0.25,"On Track","Behind"))</f>
        <v/>
      </c>
      <c r="H73">
        <f>C73*IF(B73="West",0.95,1)</f>
        <v/>
      </c>
    </row>
    <row r="74">
      <c r="A74">
        <f>Raw_Bookings!A75</f>
        <v/>
      </c>
      <c r="B74">
        <f>IF(TRIM(LOWER(Raw_Bookings!D75))="east","East",IF(TRIM(LOWER(Raw_Bookings!D75))="west","West",IF(TRIM(LOWER(Raw_Bookings!D75))="central","Central",IF(TRIM(LOWER(Raw_Bookings!D75))="south","South","UNKNOWN"))))</f>
        <v/>
      </c>
      <c r="C74">
        <f>IFERROR(Raw_Bookings!H75*VLOOKUP(Raw_Bookings!I75,Rates!$A$2:$B$6,2,FALSE),Raw_Bookings!H75)</f>
        <v/>
      </c>
      <c r="D74">
        <f>IF(Raw_Bookings!F75="New License","NEW",IF(OR(Raw_Bookings!F75="Renewal",Raw_Bookings!F75="Support"),"RECURRING","OTHER"))</f>
        <v/>
      </c>
      <c r="E74">
        <f>IFERROR(VLOOKUP(Raw_Bookings!G75,Rep_Master!$A$2:$D$18,3,FALSE),"")</f>
        <v/>
      </c>
      <c r="F74">
        <f>IFERROR(VLOOKUP(E74,Rep_Targets!$A$2:$D$9,4,FALSE),0)</f>
        <v/>
      </c>
      <c r="G74">
        <f>IF(F74=0,"NO QUOTA FOUND",IF(C74&gt;=F74*0.25,"On Track","Behind"))</f>
        <v/>
      </c>
      <c r="H74">
        <f>C74*IF(B74="West",0.95,1)</f>
        <v/>
      </c>
    </row>
    <row r="75">
      <c r="A75">
        <f>Raw_Bookings!A76</f>
        <v/>
      </c>
      <c r="B75">
        <f>IF(TRIM(LOWER(Raw_Bookings!D76))="east","East",IF(TRIM(LOWER(Raw_Bookings!D76))="west","West",IF(TRIM(LOWER(Raw_Bookings!D76))="central","Central",IF(TRIM(LOWER(Raw_Bookings!D76))="south","South","UNKNOWN"))))</f>
        <v/>
      </c>
      <c r="C75">
        <f>IFERROR(Raw_Bookings!H76*VLOOKUP(Raw_Bookings!I76,Rates!$A$2:$B$6,2,FALSE),Raw_Bookings!H76)</f>
        <v/>
      </c>
      <c r="D75">
        <f>IF(Raw_Bookings!F76="New License","NEW",IF(OR(Raw_Bookings!F76="Renewal",Raw_Bookings!F76="Support"),"RECURRING","OTHER"))</f>
        <v/>
      </c>
      <c r="E75">
        <f>IFERROR(VLOOKUP(Raw_Bookings!G76,Rep_Master!$A$2:$D$18,3,FALSE),"")</f>
        <v/>
      </c>
      <c r="F75">
        <f>IFERROR(VLOOKUP(E75,Rep_Targets!$A$2:$D$9,4,FALSE),0)</f>
        <v/>
      </c>
      <c r="G75">
        <f>IF(F75=0,"NO QUOTA FOUND",IF(C75&gt;=F75*0.25,"On Track","Behind"))</f>
        <v/>
      </c>
      <c r="H75">
        <f>C75*IF(B75="West",0.95,1)</f>
        <v/>
      </c>
    </row>
    <row r="76">
      <c r="A76">
        <f>Raw_Bookings!A77</f>
        <v/>
      </c>
      <c r="B76">
        <f>IF(TRIM(LOWER(Raw_Bookings!D77))="east","East",IF(TRIM(LOWER(Raw_Bookings!D77))="west","West",IF(TRIM(LOWER(Raw_Bookings!D77))="central","Central",IF(TRIM(LOWER(Raw_Bookings!D77))="south","South","UNKNOWN"))))</f>
        <v/>
      </c>
      <c r="C76">
        <f>IFERROR(Raw_Bookings!H77*VLOOKUP(Raw_Bookings!I77,Rates!$A$2:$B$6,2,FALSE),Raw_Bookings!H77)</f>
        <v/>
      </c>
      <c r="D76">
        <f>IF(Raw_Bookings!F77="New License","NEW",IF(OR(Raw_Bookings!F77="Renewal",Raw_Bookings!F77="Support"),"RECURRING","OTHER"))</f>
        <v/>
      </c>
      <c r="E76">
        <f>IFERROR(VLOOKUP(Raw_Bookings!G77,Rep_Master!$A$2:$D$18,3,FALSE),"")</f>
        <v/>
      </c>
      <c r="F76">
        <f>IFERROR(VLOOKUP(E76,Rep_Targets!$A$2:$D$9,4,FALSE),0)</f>
        <v/>
      </c>
      <c r="G76">
        <f>IF(F76=0,"NO QUOTA FOUND",IF(C76&gt;=F76*0.25,"On Track","Behind"))</f>
        <v/>
      </c>
      <c r="H76">
        <f>C76*IF(B76="West",0.95,1)</f>
        <v/>
      </c>
    </row>
    <row r="77">
      <c r="A77">
        <f>Raw_Bookings!A78</f>
        <v/>
      </c>
      <c r="B77">
        <f>IF(TRIM(LOWER(Raw_Bookings!D78))="east","East",IF(TRIM(LOWER(Raw_Bookings!D78))="west","West",IF(TRIM(LOWER(Raw_Bookings!D78))="central","Central",IF(TRIM(LOWER(Raw_Bookings!D78))="south","South","UNKNOWN"))))</f>
        <v/>
      </c>
      <c r="C77">
        <f>IFERROR(Raw_Bookings!H78*VLOOKUP(Raw_Bookings!I78,Rates!$A$2:$B$6,2,FALSE),Raw_Bookings!H78)</f>
        <v/>
      </c>
      <c r="D77">
        <f>IF(Raw_Bookings!F78="New License","NEW",IF(OR(Raw_Bookings!F78="Renewal",Raw_Bookings!F78="Support"),"RECURRING","OTHER"))</f>
        <v/>
      </c>
      <c r="E77">
        <f>IFERROR(VLOOKUP(Raw_Bookings!G78,Rep_Master!$A$2:$D$18,3,FALSE),"")</f>
        <v/>
      </c>
      <c r="F77">
        <f>IFERROR(VLOOKUP(E77,Rep_Targets!$A$2:$D$9,4,FALSE),0)</f>
        <v/>
      </c>
      <c r="G77">
        <f>IF(F77=0,"NO QUOTA FOUND",IF(C77&gt;=F77*0.25,"On Track","Behind"))</f>
        <v/>
      </c>
      <c r="H77">
        <f>C77*IF(B77="West",0.95,1)</f>
        <v/>
      </c>
    </row>
    <row r="78">
      <c r="A78">
        <f>Raw_Bookings!A79</f>
        <v/>
      </c>
      <c r="B78">
        <f>IF(TRIM(LOWER(Raw_Bookings!D79))="east","East",IF(TRIM(LOWER(Raw_Bookings!D79))="west","West",IF(TRIM(LOWER(Raw_Bookings!D79))="central","Central",IF(TRIM(LOWER(Raw_Bookings!D79))="south","South","UNKNOWN"))))</f>
        <v/>
      </c>
      <c r="C78">
        <f>IFERROR(Raw_Bookings!H79*VLOOKUP(Raw_Bookings!I79,Rates!$A$2:$B$6,2,FALSE),Raw_Bookings!H79)</f>
        <v/>
      </c>
      <c r="D78">
        <f>IF(Raw_Bookings!F79="New License","NEW",IF(OR(Raw_Bookings!F79="Renewal",Raw_Bookings!F79="Support"),"RECURRING","OTHER"))</f>
        <v/>
      </c>
      <c r="E78">
        <f>IFERROR(VLOOKUP(Raw_Bookings!G79,Rep_Master!$A$2:$D$18,3,FALSE),"")</f>
        <v/>
      </c>
      <c r="F78">
        <f>IFERROR(VLOOKUP(E78,Rep_Targets!$A$2:$D$9,4,FALSE),0)</f>
        <v/>
      </c>
      <c r="G78">
        <f>IF(F78=0,"NO QUOTA FOUND",IF(C78&gt;=F78*0.25,"On Track","Behind"))</f>
        <v/>
      </c>
      <c r="H78">
        <f>C78*IF(B78="West",0.95,1)</f>
        <v/>
      </c>
    </row>
    <row r="79">
      <c r="A79">
        <f>Raw_Bookings!A80</f>
        <v/>
      </c>
      <c r="B79">
        <f>IF(TRIM(LOWER(Raw_Bookings!D80))="east","East",IF(TRIM(LOWER(Raw_Bookings!D80))="west","West",IF(TRIM(LOWER(Raw_Bookings!D80))="central","Central",IF(TRIM(LOWER(Raw_Bookings!D80))="south","South","UNKNOWN"))))</f>
        <v/>
      </c>
      <c r="C79">
        <f>IFERROR(Raw_Bookings!H80*VLOOKUP(Raw_Bookings!I80,Rates!$A$2:$B$6,2,FALSE),Raw_Bookings!H80)</f>
        <v/>
      </c>
      <c r="D79">
        <f>IF(Raw_Bookings!F80="New License","NEW",IF(OR(Raw_Bookings!F80="Renewal",Raw_Bookings!F80="Support"),"RECURRING","OTHER"))</f>
        <v/>
      </c>
      <c r="E79">
        <f>IFERROR(VLOOKUP(Raw_Bookings!G80,Rep_Master!$A$2:$D$18,3,FALSE),"")</f>
        <v/>
      </c>
      <c r="F79">
        <f>IFERROR(VLOOKUP(E79,Rep_Targets!$A$2:$D$9,4,FALSE),0)</f>
        <v/>
      </c>
      <c r="G79">
        <f>IF(F79=0,"NO QUOTA FOUND",IF(C79&gt;=F79*0.25,"On Track","Behind"))</f>
        <v/>
      </c>
      <c r="H79">
        <f>C79*IF(B79="West",0.95,1)</f>
        <v/>
      </c>
    </row>
    <row r="80">
      <c r="A80">
        <f>Raw_Bookings!A81</f>
        <v/>
      </c>
      <c r="B80">
        <f>IF(TRIM(LOWER(Raw_Bookings!D81))="east","East",IF(TRIM(LOWER(Raw_Bookings!D81))="west","West",IF(TRIM(LOWER(Raw_Bookings!D81))="central","Central",IF(TRIM(LOWER(Raw_Bookings!D81))="south","South","UNKNOWN"))))</f>
        <v/>
      </c>
      <c r="C80">
        <f>IFERROR(Raw_Bookings!H81*VLOOKUP(Raw_Bookings!I81,Rates!$A$2:$B$6,2,FALSE),Raw_Bookings!H81)</f>
        <v/>
      </c>
      <c r="D80">
        <f>IF(Raw_Bookings!F81="New License","NEW",IF(OR(Raw_Bookings!F81="Renewal",Raw_Bookings!F81="Support"),"RECURRING","OTHER"))</f>
        <v/>
      </c>
      <c r="E80">
        <f>IFERROR(VLOOKUP(Raw_Bookings!G81,Rep_Master!$A$2:$D$18,3,FALSE),"")</f>
        <v/>
      </c>
      <c r="F80">
        <f>IFERROR(VLOOKUP(E80,Rep_Targets!$A$2:$D$9,4,FALSE),0)</f>
        <v/>
      </c>
      <c r="G80">
        <f>IF(F80=0,"NO QUOTA FOUND",IF(C80&gt;=F80*0.25,"On Track","Behind"))</f>
        <v/>
      </c>
      <c r="H80">
        <f>C80*IF(B80="West",0.95,1)</f>
        <v/>
      </c>
    </row>
    <row r="81">
      <c r="A81">
        <f>Raw_Bookings!A82</f>
        <v/>
      </c>
      <c r="B81">
        <f>IF(TRIM(LOWER(Raw_Bookings!D82))="east","East",IF(TRIM(LOWER(Raw_Bookings!D82))="west","West",IF(TRIM(LOWER(Raw_Bookings!D82))="central","Central",IF(TRIM(LOWER(Raw_Bookings!D82))="south","South","UNKNOWN"))))</f>
        <v/>
      </c>
      <c r="C81">
        <f>IFERROR(Raw_Bookings!H82*VLOOKUP(Raw_Bookings!I82,Rates!$A$2:$B$6,2,FALSE),Raw_Bookings!H82)</f>
        <v/>
      </c>
      <c r="D81">
        <f>IF(Raw_Bookings!F82="New License","NEW",IF(OR(Raw_Bookings!F82="Renewal",Raw_Bookings!F82="Support"),"RECURRING","OTHER"))</f>
        <v/>
      </c>
      <c r="E81">
        <f>IFERROR(VLOOKUP(Raw_Bookings!G82,Rep_Master!$A$2:$D$18,3,FALSE),"")</f>
        <v/>
      </c>
      <c r="F81">
        <f>IFERROR(VLOOKUP(E81,Rep_Targets!$A$2:$D$9,4,FALSE),0)</f>
        <v/>
      </c>
      <c r="G81">
        <f>IF(F81=0,"NO QUOTA FOUND",IF(C81&gt;=F81*0.25,"On Track","Behind"))</f>
        <v/>
      </c>
      <c r="H81">
        <f>C81*IF(B81="West",0.95,1)</f>
        <v/>
      </c>
    </row>
    <row r="82">
      <c r="A82">
        <f>Raw_Bookings!A83</f>
        <v/>
      </c>
      <c r="B82">
        <f>IF(TRIM(LOWER(Raw_Bookings!D83))="east","East",IF(TRIM(LOWER(Raw_Bookings!D83))="west","West",IF(TRIM(LOWER(Raw_Bookings!D83))="central","Central",IF(TRIM(LOWER(Raw_Bookings!D83))="south","South","UNKNOWN"))))</f>
        <v/>
      </c>
      <c r="C82">
        <f>IFERROR(Raw_Bookings!H83*VLOOKUP(Raw_Bookings!I83,Rates!$A$2:$B$6,2,FALSE),Raw_Bookings!H83)</f>
        <v/>
      </c>
      <c r="D82">
        <f>IF(Raw_Bookings!F83="New License","NEW",IF(OR(Raw_Bookings!F83="Renewal",Raw_Bookings!F83="Support"),"RECURRING","OTHER"))</f>
        <v/>
      </c>
      <c r="E82">
        <f>IFERROR(VLOOKUP(Raw_Bookings!G83,Rep_Master!$A$2:$D$18,3,FALSE),"")</f>
        <v/>
      </c>
      <c r="F82">
        <f>IFERROR(VLOOKUP(E82,Rep_Targets!$A$2:$D$9,4,FALSE),0)</f>
        <v/>
      </c>
      <c r="G82">
        <f>IF(F82=0,"NO QUOTA FOUND",IF(C82&gt;=F82*0.25,"On Track","Behind"))</f>
        <v/>
      </c>
      <c r="H82">
        <f>C82*IF(B82="West",0.95,1)</f>
        <v/>
      </c>
    </row>
    <row r="83">
      <c r="A83">
        <f>Raw_Bookings!A84</f>
        <v/>
      </c>
      <c r="B83">
        <f>IF(TRIM(LOWER(Raw_Bookings!D84))="east","East",IF(TRIM(LOWER(Raw_Bookings!D84))="west","West",IF(TRIM(LOWER(Raw_Bookings!D84))="central","Central",IF(TRIM(LOWER(Raw_Bookings!D84))="south","South","UNKNOWN"))))</f>
        <v/>
      </c>
      <c r="C83">
        <f>IFERROR(Raw_Bookings!H84*VLOOKUP(Raw_Bookings!I84,Rates!$A$2:$B$6,2,FALSE),Raw_Bookings!H84)</f>
        <v/>
      </c>
      <c r="D83">
        <f>IF(Raw_Bookings!F84="New License","NEW",IF(OR(Raw_Bookings!F84="Renewal",Raw_Bookings!F84="Support"),"RECURRING","OTHER"))</f>
        <v/>
      </c>
      <c r="E83">
        <f>IFERROR(VLOOKUP(Raw_Bookings!G84,Rep_Master!$A$2:$D$18,3,FALSE),"")</f>
        <v/>
      </c>
      <c r="F83">
        <f>IFERROR(VLOOKUP(E83,Rep_Targets!$A$2:$D$9,4,FALSE),0)</f>
        <v/>
      </c>
      <c r="G83">
        <f>IF(F83=0,"NO QUOTA FOUND",IF(C83&gt;=F83*0.25,"On Track","Behind"))</f>
        <v/>
      </c>
      <c r="H83">
        <f>C83*IF(B83="West",0.95,1)</f>
        <v/>
      </c>
    </row>
    <row r="84">
      <c r="A84">
        <f>Raw_Bookings!A85</f>
        <v/>
      </c>
      <c r="B84">
        <f>IF(TRIM(LOWER(Raw_Bookings!D85))="east","East",IF(TRIM(LOWER(Raw_Bookings!D85))="west","West",IF(TRIM(LOWER(Raw_Bookings!D85))="central","Central",IF(TRIM(LOWER(Raw_Bookings!D85))="south","South","UNKNOWN"))))</f>
        <v/>
      </c>
      <c r="C84">
        <f>IFERROR(Raw_Bookings!H85*VLOOKUP(Raw_Bookings!I85,Rates!$A$2:$B$6,2,FALSE),Raw_Bookings!H85)</f>
        <v/>
      </c>
      <c r="D84">
        <f>IF(Raw_Bookings!F85="New License","NEW",IF(OR(Raw_Bookings!F85="Renewal",Raw_Bookings!F85="Support"),"RECURRING","OTHER"))</f>
        <v/>
      </c>
      <c r="E84">
        <f>IFERROR(VLOOKUP(Raw_Bookings!G85,Rep_Master!$A$2:$D$18,3,FALSE),"")</f>
        <v/>
      </c>
      <c r="F84">
        <f>IFERROR(VLOOKUP(E84,Rep_Targets!$A$2:$D$9,4,FALSE),0)</f>
        <v/>
      </c>
      <c r="G84">
        <f>IF(F84=0,"NO QUOTA FOUND",IF(C84&gt;=F84*0.25,"On Track","Behind"))</f>
        <v/>
      </c>
      <c r="H84">
        <f>C84*IF(B84="West",0.95,1)</f>
        <v/>
      </c>
    </row>
    <row r="85">
      <c r="A85">
        <f>Raw_Bookings!A86</f>
        <v/>
      </c>
      <c r="B85">
        <f>IF(TRIM(LOWER(Raw_Bookings!D86))="east","East",IF(TRIM(LOWER(Raw_Bookings!D86))="west","West",IF(TRIM(LOWER(Raw_Bookings!D86))="central","Central",IF(TRIM(LOWER(Raw_Bookings!D86))="south","South","UNKNOWN"))))</f>
        <v/>
      </c>
      <c r="C85">
        <f>IFERROR(Raw_Bookings!H86*VLOOKUP(Raw_Bookings!I86,Rates!$A$2:$B$6,2,FALSE),Raw_Bookings!H86)</f>
        <v/>
      </c>
      <c r="D85">
        <f>IF(Raw_Bookings!F86="New License","NEW",IF(OR(Raw_Bookings!F86="Renewal",Raw_Bookings!F86="Support"),"RECURRING","OTHER"))</f>
        <v/>
      </c>
      <c r="E85">
        <f>IFERROR(VLOOKUP(Raw_Bookings!G86,Rep_Master!$A$2:$D$18,3,FALSE),"")</f>
        <v/>
      </c>
      <c r="F85">
        <f>IFERROR(VLOOKUP(E85,Rep_Targets!$A$2:$D$9,4,FALSE),0)</f>
        <v/>
      </c>
      <c r="G85">
        <f>IF(F85=0,"NO QUOTA FOUND",IF(C85&gt;=F85*0.25,"On Track","Behind"))</f>
        <v/>
      </c>
      <c r="H85">
        <f>C85*IF(B85="West",0.95,1)</f>
        <v/>
      </c>
    </row>
    <row r="86">
      <c r="A86">
        <f>Raw_Bookings!A87</f>
        <v/>
      </c>
      <c r="B86">
        <f>IF(TRIM(LOWER(Raw_Bookings!D87))="east","East",IF(TRIM(LOWER(Raw_Bookings!D87))="west","West",IF(TRIM(LOWER(Raw_Bookings!D87))="central","Central",IF(TRIM(LOWER(Raw_Bookings!D87))="south","South","UNKNOWN"))))</f>
        <v/>
      </c>
      <c r="C86">
        <f>IFERROR(Raw_Bookings!H87*VLOOKUP(Raw_Bookings!I87,Rates!$A$2:$B$6,2,FALSE),Raw_Bookings!H87)</f>
        <v/>
      </c>
      <c r="D86">
        <f>IF(Raw_Bookings!F87="New License","NEW",IF(OR(Raw_Bookings!F87="Renewal",Raw_Bookings!F87="Support"),"RECURRING","OTHER"))</f>
        <v/>
      </c>
      <c r="E86">
        <f>IFERROR(VLOOKUP(Raw_Bookings!G87,Rep_Master!$A$2:$D$18,3,FALSE),"")</f>
        <v/>
      </c>
      <c r="F86">
        <f>IFERROR(VLOOKUP(E86,Rep_Targets!$A$2:$D$9,4,FALSE),0)</f>
        <v/>
      </c>
      <c r="G86">
        <f>IF(F86=0,"NO QUOTA FOUND",IF(C86&gt;=F86*0.25,"On Track","Behind"))</f>
        <v/>
      </c>
      <c r="H86">
        <f>C86*IF(B86="West",0.95,1)</f>
        <v/>
      </c>
    </row>
    <row r="87">
      <c r="A87">
        <f>Raw_Bookings!A88</f>
        <v/>
      </c>
      <c r="B87">
        <f>IF(TRIM(LOWER(Raw_Bookings!D88))="east","East",IF(TRIM(LOWER(Raw_Bookings!D88))="west","West",IF(TRIM(LOWER(Raw_Bookings!D88))="central","Central",IF(TRIM(LOWER(Raw_Bookings!D88))="south","South","UNKNOWN"))))</f>
        <v/>
      </c>
      <c r="C87">
        <f>IFERROR(Raw_Bookings!H88*VLOOKUP(Raw_Bookings!I88,Rates!$A$2:$B$6,2,FALSE),Raw_Bookings!H88)</f>
        <v/>
      </c>
      <c r="D87">
        <f>IF(Raw_Bookings!F88="New License","NEW",IF(OR(Raw_Bookings!F88="Renewal",Raw_Bookings!F88="Support"),"RECURRING","OTHER"))</f>
        <v/>
      </c>
      <c r="E87">
        <f>IFERROR(VLOOKUP(Raw_Bookings!G88,Rep_Master!$A$2:$D$18,3,FALSE),"")</f>
        <v/>
      </c>
      <c r="F87">
        <f>IFERROR(VLOOKUP(E87,Rep_Targets!$A$2:$D$9,4,FALSE),0)</f>
        <v/>
      </c>
      <c r="G87">
        <f>IF(F87=0,"NO QUOTA FOUND",IF(C87&gt;=F87*0.25,"On Track","Behind"))</f>
        <v/>
      </c>
      <c r="H87">
        <f>C87*IF(B87="West",0.95,1)</f>
        <v/>
      </c>
    </row>
    <row r="88">
      <c r="A88">
        <f>Raw_Bookings!A89</f>
        <v/>
      </c>
      <c r="B88">
        <f>IF(TRIM(LOWER(Raw_Bookings!D89))="east","East",IF(TRIM(LOWER(Raw_Bookings!D89))="west","West",IF(TRIM(LOWER(Raw_Bookings!D89))="central","Central",IF(TRIM(LOWER(Raw_Bookings!D89))="south","South","UNKNOWN"))))</f>
        <v/>
      </c>
      <c r="C88">
        <f>IFERROR(Raw_Bookings!H89*VLOOKUP(Raw_Bookings!I89,Rates!$A$2:$B$6,2,FALSE),Raw_Bookings!H89)</f>
        <v/>
      </c>
      <c r="D88">
        <f>IF(Raw_Bookings!F89="New License","NEW",IF(OR(Raw_Bookings!F89="Renewal",Raw_Bookings!F89="Support"),"RECURRING","OTHER"))</f>
        <v/>
      </c>
      <c r="E88">
        <f>IFERROR(VLOOKUP(Raw_Bookings!G89,Rep_Master!$A$2:$D$18,3,FALSE),"")</f>
        <v/>
      </c>
      <c r="F88">
        <f>IFERROR(VLOOKUP(E88,Rep_Targets!$A$2:$D$9,4,FALSE),0)</f>
        <v/>
      </c>
      <c r="G88">
        <f>IF(F88=0,"NO QUOTA FOUND",IF(C88&gt;=F88*0.25,"On Track","Behind"))</f>
        <v/>
      </c>
      <c r="H88">
        <f>C88*IF(B88="West",0.95,1)</f>
        <v/>
      </c>
    </row>
    <row r="89">
      <c r="A89">
        <f>Raw_Bookings!A90</f>
        <v/>
      </c>
      <c r="B89">
        <f>IF(TRIM(LOWER(Raw_Bookings!D90))="east","East",IF(TRIM(LOWER(Raw_Bookings!D90))="west","West",IF(TRIM(LOWER(Raw_Bookings!D90))="central","Central",IF(TRIM(LOWER(Raw_Bookings!D90))="south","South","UNKNOWN"))))</f>
        <v/>
      </c>
      <c r="C89">
        <f>IFERROR(Raw_Bookings!H90*VLOOKUP(Raw_Bookings!I90,Rates!$A$2:$B$6,2,FALSE),Raw_Bookings!H90)</f>
        <v/>
      </c>
      <c r="D89">
        <f>IF(Raw_Bookings!F90="New License","NEW",IF(OR(Raw_Bookings!F90="Renewal",Raw_Bookings!F90="Support"),"RECURRING","OTHER"))</f>
        <v/>
      </c>
      <c r="E89">
        <f>IFERROR(VLOOKUP(Raw_Bookings!G90,Rep_Master!$A$2:$D$18,3,FALSE),"")</f>
        <v/>
      </c>
      <c r="F89">
        <f>IFERROR(VLOOKUP(E89,Rep_Targets!$A$2:$D$9,4,FALSE),0)</f>
        <v/>
      </c>
      <c r="G89">
        <f>IF(F89=0,"NO QUOTA FOUND",IF(C89&gt;=F89*0.25,"On Track","Behind"))</f>
        <v/>
      </c>
      <c r="H89">
        <f>C89*IF(B89="West",0.95,1)</f>
        <v/>
      </c>
    </row>
    <row r="90">
      <c r="A90">
        <f>Raw_Bookings!A91</f>
        <v/>
      </c>
      <c r="B90">
        <f>IF(TRIM(LOWER(Raw_Bookings!D91))="east","East",IF(TRIM(LOWER(Raw_Bookings!D91))="west","West",IF(TRIM(LOWER(Raw_Bookings!D91))="central","Central",IF(TRIM(LOWER(Raw_Bookings!D91))="south","South","UNKNOWN"))))</f>
        <v/>
      </c>
      <c r="C90">
        <f>IFERROR(Raw_Bookings!H91*VLOOKUP(Raw_Bookings!I91,Rates!$A$2:$B$6,2,FALSE),Raw_Bookings!H91)</f>
        <v/>
      </c>
      <c r="D90">
        <f>IF(Raw_Bookings!F91="New License","NEW",IF(OR(Raw_Bookings!F91="Renewal",Raw_Bookings!F91="Support"),"RECURRING","OTHER"))</f>
        <v/>
      </c>
      <c r="E90">
        <f>IFERROR(VLOOKUP(Raw_Bookings!G91,Rep_Master!$A$2:$D$18,3,FALSE),"")</f>
        <v/>
      </c>
      <c r="F90">
        <f>IFERROR(VLOOKUP(E90,Rep_Targets!$A$2:$D$9,4,FALSE),0)</f>
        <v/>
      </c>
      <c r="G90">
        <f>IF(F90=0,"NO QUOTA FOUND",IF(C90&gt;=F90*0.25,"On Track","Behind"))</f>
        <v/>
      </c>
      <c r="H90">
        <f>C90*IF(B90="West",0.95,1)</f>
        <v/>
      </c>
    </row>
    <row r="91">
      <c r="A91">
        <f>Raw_Bookings!A92</f>
        <v/>
      </c>
      <c r="B91">
        <f>IF(TRIM(LOWER(Raw_Bookings!D92))="east","East",IF(TRIM(LOWER(Raw_Bookings!D92))="west","West",IF(TRIM(LOWER(Raw_Bookings!D92))="central","Central",IF(TRIM(LOWER(Raw_Bookings!D92))="south","South","UNKNOWN"))))</f>
        <v/>
      </c>
      <c r="C91">
        <f>IFERROR(Raw_Bookings!H92*VLOOKUP(Raw_Bookings!I92,Rates!$A$2:$B$6,2,FALSE),Raw_Bookings!H92)</f>
        <v/>
      </c>
      <c r="D91">
        <f>IF(Raw_Bookings!F92="New License","NEW",IF(OR(Raw_Bookings!F92="Renewal",Raw_Bookings!F92="Support"),"RECURRING","OTHER"))</f>
        <v/>
      </c>
      <c r="E91">
        <f>IFERROR(VLOOKUP(Raw_Bookings!G92,Rep_Master!$A$2:$D$18,3,FALSE),"")</f>
        <v/>
      </c>
      <c r="F91">
        <f>IFERROR(VLOOKUP(E91,Rep_Targets!$A$2:$D$9,4,FALSE),0)</f>
        <v/>
      </c>
      <c r="G91">
        <f>IF(F91=0,"NO QUOTA FOUND",IF(C91&gt;=F91*0.25,"On Track","Behind"))</f>
        <v/>
      </c>
      <c r="H91">
        <f>C91*IF(B91="West",0.95,1)</f>
        <v/>
      </c>
    </row>
    <row r="92">
      <c r="A92">
        <f>Raw_Bookings!A93</f>
        <v/>
      </c>
      <c r="B92">
        <f>IF(TRIM(LOWER(Raw_Bookings!D93))="east","East",IF(TRIM(LOWER(Raw_Bookings!D93))="west","West",IF(TRIM(LOWER(Raw_Bookings!D93))="central","Central",IF(TRIM(LOWER(Raw_Bookings!D93))="south","South","UNKNOWN"))))</f>
        <v/>
      </c>
      <c r="C92">
        <f>IFERROR(Raw_Bookings!H93*VLOOKUP(Raw_Bookings!I93,Rates!$A$2:$B$6,2,FALSE),Raw_Bookings!H93)</f>
        <v/>
      </c>
      <c r="D92">
        <f>IF(Raw_Bookings!F93="New License","NEW",IF(OR(Raw_Bookings!F93="Renewal",Raw_Bookings!F93="Support"),"RECURRING","OTHER"))</f>
        <v/>
      </c>
      <c r="E92">
        <f>IFERROR(VLOOKUP(Raw_Bookings!G93,Rep_Master!$A$2:$D$18,3,FALSE),"")</f>
        <v/>
      </c>
      <c r="F92">
        <f>IFERROR(VLOOKUP(E92,Rep_Targets!$A$2:$D$9,4,FALSE),0)</f>
        <v/>
      </c>
      <c r="G92">
        <f>IF(F92=0,"NO QUOTA FOUND",IF(C92&gt;=F92*0.25,"On Track","Behind"))</f>
        <v/>
      </c>
      <c r="H92">
        <f>C92*IF(B92="West",0.95,1)</f>
        <v/>
      </c>
    </row>
    <row r="93">
      <c r="A93">
        <f>Raw_Bookings!A94</f>
        <v/>
      </c>
      <c r="B93">
        <f>IF(TRIM(LOWER(Raw_Bookings!D94))="east","East",IF(TRIM(LOWER(Raw_Bookings!D94))="west","West",IF(TRIM(LOWER(Raw_Bookings!D94))="central","Central",IF(TRIM(LOWER(Raw_Bookings!D94))="south","South","UNKNOWN"))))</f>
        <v/>
      </c>
      <c r="C93">
        <f>IFERROR(Raw_Bookings!H94*VLOOKUP(Raw_Bookings!I94,Rates!$A$2:$B$6,2,FALSE),Raw_Bookings!H94)</f>
        <v/>
      </c>
      <c r="D93">
        <f>IF(Raw_Bookings!F94="New License","NEW",IF(OR(Raw_Bookings!F94="Renewal",Raw_Bookings!F94="Support"),"RECURRING","OTHER"))</f>
        <v/>
      </c>
      <c r="E93">
        <f>IFERROR(VLOOKUP(Raw_Bookings!G94,Rep_Master!$A$2:$D$18,3,FALSE),"")</f>
        <v/>
      </c>
      <c r="F93">
        <f>IFERROR(VLOOKUP(E93,Rep_Targets!$A$2:$D$9,4,FALSE),0)</f>
        <v/>
      </c>
      <c r="G93">
        <f>IF(F93=0,"NO QUOTA FOUND",IF(C93&gt;=F93*0.25,"On Track","Behind"))</f>
        <v/>
      </c>
      <c r="H93">
        <f>C93*IF(B93="West",0.95,1)</f>
        <v/>
      </c>
    </row>
    <row r="94">
      <c r="A94">
        <f>Raw_Bookings!A95</f>
        <v/>
      </c>
      <c r="B94">
        <f>IF(TRIM(LOWER(Raw_Bookings!D95))="east","East",IF(TRIM(LOWER(Raw_Bookings!D95))="west","West",IF(TRIM(LOWER(Raw_Bookings!D95))="central","Central",IF(TRIM(LOWER(Raw_Bookings!D95))="south","South","UNKNOWN"))))</f>
        <v/>
      </c>
      <c r="C94">
        <f>IFERROR(Raw_Bookings!H95*VLOOKUP(Raw_Bookings!I95,Rates!$A$2:$B$6,2,FALSE),Raw_Bookings!H95)</f>
        <v/>
      </c>
      <c r="D94">
        <f>IF(Raw_Bookings!F95="New License","NEW",IF(OR(Raw_Bookings!F95="Renewal",Raw_Bookings!F95="Support"),"RECURRING","OTHER"))</f>
        <v/>
      </c>
      <c r="E94">
        <f>IFERROR(VLOOKUP(Raw_Bookings!G95,Rep_Master!$A$2:$D$18,3,FALSE),"")</f>
        <v/>
      </c>
      <c r="F94">
        <f>IFERROR(VLOOKUP(E94,Rep_Targets!$A$2:$D$9,4,FALSE),0)</f>
        <v/>
      </c>
      <c r="G94">
        <f>IF(F94=0,"NO QUOTA FOUND",IF(C94&gt;=F94*0.25,"On Track","Behind"))</f>
        <v/>
      </c>
      <c r="H94">
        <f>C94*IF(B94="West",0.95,1)</f>
        <v/>
      </c>
    </row>
    <row r="95">
      <c r="A95">
        <f>Raw_Bookings!A96</f>
        <v/>
      </c>
      <c r="B95">
        <f>IF(TRIM(LOWER(Raw_Bookings!D96))="east","East",IF(TRIM(LOWER(Raw_Bookings!D96))="west","West",IF(TRIM(LOWER(Raw_Bookings!D96))="central","Central",IF(TRIM(LOWER(Raw_Bookings!D96))="south","South","UNKNOWN"))))</f>
        <v/>
      </c>
      <c r="C95">
        <f>IFERROR(Raw_Bookings!H96*VLOOKUP(Raw_Bookings!I96,Rates!$A$2:$B$6,2,FALSE),Raw_Bookings!H96)</f>
        <v/>
      </c>
      <c r="D95">
        <f>IF(Raw_Bookings!F96="New License","NEW",IF(OR(Raw_Bookings!F96="Renewal",Raw_Bookings!F96="Support"),"RECURRING","OTHER"))</f>
        <v/>
      </c>
      <c r="E95">
        <f>IFERROR(VLOOKUP(Raw_Bookings!G96,Rep_Master!$A$2:$D$18,3,FALSE),"")</f>
        <v/>
      </c>
      <c r="F95">
        <f>IFERROR(VLOOKUP(E95,Rep_Targets!$A$2:$D$9,4,FALSE),0)</f>
        <v/>
      </c>
      <c r="G95">
        <f>IF(F95=0,"NO QUOTA FOUND",IF(C95&gt;=F95*0.25,"On Track","Behind"))</f>
        <v/>
      </c>
      <c r="H95">
        <f>C95*IF(B95="West",0.95,1)</f>
        <v/>
      </c>
    </row>
    <row r="96">
      <c r="A96">
        <f>Raw_Bookings!A97</f>
        <v/>
      </c>
      <c r="B96">
        <f>IF(TRIM(LOWER(Raw_Bookings!D97))="east","East",IF(TRIM(LOWER(Raw_Bookings!D97))="west","West",IF(TRIM(LOWER(Raw_Bookings!D97))="central","Central",IF(TRIM(LOWER(Raw_Bookings!D97))="south","South","UNKNOWN"))))</f>
        <v/>
      </c>
      <c r="C96">
        <f>IFERROR(Raw_Bookings!H97*VLOOKUP(Raw_Bookings!I97,Rates!$A$2:$B$6,2,FALSE),Raw_Bookings!H97)</f>
        <v/>
      </c>
      <c r="D96">
        <f>IF(Raw_Bookings!F97="New License","NEW",IF(OR(Raw_Bookings!F97="Renewal",Raw_Bookings!F97="Support"),"RECURRING","OTHER"))</f>
        <v/>
      </c>
      <c r="E96">
        <f>IFERROR(VLOOKUP(Raw_Bookings!G97,Rep_Master!$A$2:$D$18,3,FALSE),"")</f>
        <v/>
      </c>
      <c r="F96">
        <f>IFERROR(VLOOKUP(E96,Rep_Targets!$A$2:$D$9,4,FALSE),0)</f>
        <v/>
      </c>
      <c r="G96">
        <f>IF(F96=0,"NO QUOTA FOUND",IF(C96&gt;=F96*0.25,"On Track","Behind"))</f>
        <v/>
      </c>
      <c r="H96">
        <f>C96*IF(B96="West",0.95,1)</f>
        <v/>
      </c>
    </row>
    <row r="97">
      <c r="A97">
        <f>Raw_Bookings!A98</f>
        <v/>
      </c>
      <c r="B97">
        <f>IF(TRIM(LOWER(Raw_Bookings!D98))="east","East",IF(TRIM(LOWER(Raw_Bookings!D98))="west","West",IF(TRIM(LOWER(Raw_Bookings!D98))="central","Central",IF(TRIM(LOWER(Raw_Bookings!D98))="south","South","UNKNOWN"))))</f>
        <v/>
      </c>
      <c r="C97">
        <f>IFERROR(Raw_Bookings!H98*VLOOKUP(Raw_Bookings!I98,Rates!$A$2:$B$6,2,FALSE),Raw_Bookings!H98)</f>
        <v/>
      </c>
      <c r="D97">
        <f>IF(Raw_Bookings!F98="New License","NEW",IF(OR(Raw_Bookings!F98="Renewal",Raw_Bookings!F98="Support"),"RECURRING","OTHER"))</f>
        <v/>
      </c>
      <c r="E97">
        <f>IFERROR(VLOOKUP(Raw_Bookings!G98,Rep_Master!$A$2:$D$18,3,FALSE),"")</f>
        <v/>
      </c>
      <c r="F97">
        <f>IFERROR(VLOOKUP(E97,Rep_Targets!$A$2:$D$9,4,FALSE),0)</f>
        <v/>
      </c>
      <c r="G97">
        <f>IF(F97=0,"NO QUOTA FOUND",IF(C97&gt;=F97*0.25,"On Track","Behind"))</f>
        <v/>
      </c>
      <c r="H97">
        <f>C97*IF(B97="West",0.95,1)</f>
        <v/>
      </c>
    </row>
    <row r="98">
      <c r="A98">
        <f>Raw_Bookings!A99</f>
        <v/>
      </c>
      <c r="B98">
        <f>IF(TRIM(LOWER(Raw_Bookings!D99))="east","East",IF(TRIM(LOWER(Raw_Bookings!D99))="west","West",IF(TRIM(LOWER(Raw_Bookings!D99))="central","Central",IF(TRIM(LOWER(Raw_Bookings!D99))="south","South","UNKNOWN"))))</f>
        <v/>
      </c>
      <c r="C98">
        <f>IFERROR(Raw_Bookings!H99*VLOOKUP(Raw_Bookings!I99,Rates!$A$2:$B$6,2,FALSE),Raw_Bookings!H99)</f>
        <v/>
      </c>
      <c r="D98">
        <f>IF(Raw_Bookings!F99="New License","NEW",IF(OR(Raw_Bookings!F99="Renewal",Raw_Bookings!F99="Support"),"RECURRING","OTHER"))</f>
        <v/>
      </c>
      <c r="E98">
        <f>IFERROR(VLOOKUP(Raw_Bookings!G99,Rep_Master!$A$2:$D$18,3,FALSE),"")</f>
        <v/>
      </c>
      <c r="F98">
        <f>IFERROR(VLOOKUP(E98,Rep_Targets!$A$2:$D$9,4,FALSE),0)</f>
        <v/>
      </c>
      <c r="G98">
        <f>IF(F98=0,"NO QUOTA FOUND",IF(C98&gt;=F98*0.25,"On Track","Behind"))</f>
        <v/>
      </c>
      <c r="H98">
        <f>C98*IF(B98="West",0.95,1)</f>
        <v/>
      </c>
    </row>
    <row r="99">
      <c r="A99">
        <f>Raw_Bookings!A100</f>
        <v/>
      </c>
      <c r="B99">
        <f>IF(TRIM(LOWER(Raw_Bookings!D100))="east","East",IF(TRIM(LOWER(Raw_Bookings!D100))="west","West",IF(TRIM(LOWER(Raw_Bookings!D100))="central","Central",IF(TRIM(LOWER(Raw_Bookings!D100))="south","South","UNKNOWN"))))</f>
        <v/>
      </c>
      <c r="C99">
        <f>IFERROR(Raw_Bookings!H100*VLOOKUP(Raw_Bookings!I100,Rates!$A$2:$B$6,2,FALSE),Raw_Bookings!H100)</f>
        <v/>
      </c>
      <c r="D99">
        <f>IF(Raw_Bookings!F100="New License","NEW",IF(OR(Raw_Bookings!F100="Renewal",Raw_Bookings!F100="Support"),"RECURRING","OTHER"))</f>
        <v/>
      </c>
      <c r="E99">
        <f>IFERROR(VLOOKUP(Raw_Bookings!G100,Rep_Master!$A$2:$D$18,3,FALSE),"")</f>
        <v/>
      </c>
      <c r="F99">
        <f>IFERROR(VLOOKUP(E99,Rep_Targets!$A$2:$D$9,4,FALSE),0)</f>
        <v/>
      </c>
      <c r="G99">
        <f>IF(F99=0,"NO QUOTA FOUND",IF(C99&gt;=F99*0.25,"On Track","Behind"))</f>
        <v/>
      </c>
      <c r="H99">
        <f>C99*IF(B99="West",0.95,1)</f>
        <v/>
      </c>
    </row>
    <row r="100">
      <c r="A100">
        <f>Raw_Bookings!A101</f>
        <v/>
      </c>
      <c r="B100">
        <f>IF(TRIM(LOWER(Raw_Bookings!D101))="east","East",IF(TRIM(LOWER(Raw_Bookings!D101))="west","West",IF(TRIM(LOWER(Raw_Bookings!D101))="central","Central",IF(TRIM(LOWER(Raw_Bookings!D101))="south","South","UNKNOWN"))))</f>
        <v/>
      </c>
      <c r="C100">
        <f>IFERROR(Raw_Bookings!H101*VLOOKUP(Raw_Bookings!I101,Rates!$A$2:$B$6,2,FALSE),Raw_Bookings!H101)</f>
        <v/>
      </c>
      <c r="D100">
        <f>IF(Raw_Bookings!F101="New License","NEW",IF(OR(Raw_Bookings!F101="Renewal",Raw_Bookings!F101="Support"),"RECURRING","OTHER"))</f>
        <v/>
      </c>
      <c r="E100">
        <f>IFERROR(VLOOKUP(Raw_Bookings!G101,Rep_Master!$A$2:$D$18,3,FALSE),"")</f>
        <v/>
      </c>
      <c r="F100">
        <f>IFERROR(VLOOKUP(E100,Rep_Targets!$A$2:$D$9,4,FALSE),0)</f>
        <v/>
      </c>
      <c r="G100">
        <f>IF(F100=0,"NO QUOTA FOUND",IF(C100&gt;=F100*0.25,"On Track","Behind"))</f>
        <v/>
      </c>
      <c r="H100">
        <f>C100*IF(B100="West",0.95,1)</f>
        <v/>
      </c>
    </row>
    <row r="101">
      <c r="A101">
        <f>Raw_Bookings!A102</f>
        <v/>
      </c>
      <c r="B101">
        <f>IF(TRIM(LOWER(Raw_Bookings!D102))="east","East",IF(TRIM(LOWER(Raw_Bookings!D102))="west","West",IF(TRIM(LOWER(Raw_Bookings!D102))="central","Central",IF(TRIM(LOWER(Raw_Bookings!D102))="south","South","UNKNOWN"))))</f>
        <v/>
      </c>
      <c r="C101">
        <f>IFERROR(Raw_Bookings!H102*VLOOKUP(Raw_Bookings!I102,Rates!$A$2:$B$6,2,FALSE),Raw_Bookings!H102)</f>
        <v/>
      </c>
      <c r="D101">
        <f>IF(Raw_Bookings!F102="New License","NEW",IF(OR(Raw_Bookings!F102="Renewal",Raw_Bookings!F102="Support"),"RECURRING","OTHER"))</f>
        <v/>
      </c>
      <c r="E101">
        <f>IFERROR(VLOOKUP(Raw_Bookings!G102,Rep_Master!$A$2:$D$18,3,FALSE),"")</f>
        <v/>
      </c>
      <c r="F101">
        <f>IFERROR(VLOOKUP(E101,Rep_Targets!$A$2:$D$9,4,FALSE),0)</f>
        <v/>
      </c>
      <c r="G101">
        <f>IF(F101=0,"NO QUOTA FOUND",IF(C101&gt;=F101*0.25,"On Track","Behind"))</f>
        <v/>
      </c>
      <c r="H101">
        <f>C101*IF(B101="West",0.95,1)</f>
        <v/>
      </c>
    </row>
    <row r="102">
      <c r="A102">
        <f>Raw_Bookings!A103</f>
        <v/>
      </c>
      <c r="B102">
        <f>IF(TRIM(LOWER(Raw_Bookings!D103))="east","East",IF(TRIM(LOWER(Raw_Bookings!D103))="west","West",IF(TRIM(LOWER(Raw_Bookings!D103))="central","Central",IF(TRIM(LOWER(Raw_Bookings!D103))="south","South","UNKNOWN"))))</f>
        <v/>
      </c>
      <c r="C102">
        <f>IFERROR(Raw_Bookings!H103*VLOOKUP(Raw_Bookings!I103,Rates!$A$2:$B$6,2,FALSE),Raw_Bookings!H103)</f>
        <v/>
      </c>
      <c r="D102">
        <f>IF(Raw_Bookings!F103="New License","NEW",IF(OR(Raw_Bookings!F103="Renewal",Raw_Bookings!F103="Support"),"RECURRING","OTHER"))</f>
        <v/>
      </c>
      <c r="E102">
        <f>IFERROR(VLOOKUP(Raw_Bookings!G103,Rep_Master!$A$2:$D$18,3,FALSE),"")</f>
        <v/>
      </c>
      <c r="F102">
        <f>IFERROR(VLOOKUP(E102,Rep_Targets!$A$2:$D$9,4,FALSE),0)</f>
        <v/>
      </c>
      <c r="G102">
        <f>IF(F102=0,"NO QUOTA FOUND",IF(C102&gt;=F102*0.25,"On Track","Behind"))</f>
        <v/>
      </c>
      <c r="H102">
        <f>C102*IF(B102="West",0.95,1)</f>
        <v/>
      </c>
    </row>
    <row r="103">
      <c r="A103">
        <f>Raw_Bookings!A104</f>
        <v/>
      </c>
      <c r="B103">
        <f>IF(TRIM(LOWER(Raw_Bookings!D104))="east","East",IF(TRIM(LOWER(Raw_Bookings!D104))="west","West",IF(TRIM(LOWER(Raw_Bookings!D104))="central","Central",IF(TRIM(LOWER(Raw_Bookings!D104))="south","South","UNKNOWN"))))</f>
        <v/>
      </c>
      <c r="C103">
        <f>IFERROR(Raw_Bookings!H104*VLOOKUP(Raw_Bookings!I104,Rates!$A$2:$B$6,2,FALSE),Raw_Bookings!H104)</f>
        <v/>
      </c>
      <c r="D103">
        <f>IF(Raw_Bookings!F104="New License","NEW",IF(OR(Raw_Bookings!F104="Renewal",Raw_Bookings!F104="Support"),"RECURRING","OTHER"))</f>
        <v/>
      </c>
      <c r="E103">
        <f>IFERROR(VLOOKUP(Raw_Bookings!G104,Rep_Master!$A$2:$D$18,3,FALSE),"")</f>
        <v/>
      </c>
      <c r="F103">
        <f>IFERROR(VLOOKUP(E103,Rep_Targets!$A$2:$D$9,4,FALSE),0)</f>
        <v/>
      </c>
      <c r="G103">
        <f>IF(F103=0,"NO QUOTA FOUND",IF(C103&gt;=F103*0.25,"On Track","Behind"))</f>
        <v/>
      </c>
      <c r="H103">
        <f>C103*IF(B103="West",0.95,1)</f>
        <v/>
      </c>
    </row>
    <row r="104">
      <c r="A104">
        <f>Raw_Bookings!A105</f>
        <v/>
      </c>
      <c r="B104">
        <f>IF(TRIM(LOWER(Raw_Bookings!D105))="east","East",IF(TRIM(LOWER(Raw_Bookings!D105))="west","West",IF(TRIM(LOWER(Raw_Bookings!D105))="central","Central",IF(TRIM(LOWER(Raw_Bookings!D105))="south","South","UNKNOWN"))))</f>
        <v/>
      </c>
      <c r="C104">
        <f>IFERROR(Raw_Bookings!H105*VLOOKUP(Raw_Bookings!I105,Rates!$A$2:$B$6,2,FALSE),Raw_Bookings!H105)</f>
        <v/>
      </c>
      <c r="D104">
        <f>IF(Raw_Bookings!F105="New License","NEW",IF(OR(Raw_Bookings!F105="Renewal",Raw_Bookings!F105="Support"),"RECURRING","OTHER"))</f>
        <v/>
      </c>
      <c r="E104">
        <f>IFERROR(VLOOKUP(Raw_Bookings!G105,Rep_Master!$A$2:$D$18,3,FALSE),"")</f>
        <v/>
      </c>
      <c r="F104">
        <f>IFERROR(VLOOKUP(E104,Rep_Targets!$A$2:$D$9,4,FALSE),0)</f>
        <v/>
      </c>
      <c r="G104">
        <f>IF(F104=0,"NO QUOTA FOUND",IF(C104&gt;=F104*0.25,"On Track","Behind"))</f>
        <v/>
      </c>
      <c r="H104">
        <f>C104*IF(B104="West",0.95,1)</f>
        <v/>
      </c>
    </row>
    <row r="105">
      <c r="A105">
        <f>Raw_Bookings!A106</f>
        <v/>
      </c>
      <c r="B105">
        <f>IF(TRIM(LOWER(Raw_Bookings!D106))="east","East",IF(TRIM(LOWER(Raw_Bookings!D106))="west","West",IF(TRIM(LOWER(Raw_Bookings!D106))="central","Central",IF(TRIM(LOWER(Raw_Bookings!D106))="south","South","UNKNOWN"))))</f>
        <v/>
      </c>
      <c r="C105">
        <f>IFERROR(Raw_Bookings!H106*VLOOKUP(Raw_Bookings!I106,Rates!$A$2:$B$6,2,FALSE),Raw_Bookings!H106)</f>
        <v/>
      </c>
      <c r="D105">
        <f>IF(Raw_Bookings!F106="New License","NEW",IF(OR(Raw_Bookings!F106="Renewal",Raw_Bookings!F106="Support"),"RECURRING","OTHER"))</f>
        <v/>
      </c>
      <c r="E105">
        <f>IFERROR(VLOOKUP(Raw_Bookings!G106,Rep_Master!$A$2:$D$18,3,FALSE),"")</f>
        <v/>
      </c>
      <c r="F105">
        <f>IFERROR(VLOOKUP(E105,Rep_Targets!$A$2:$D$9,4,FALSE),0)</f>
        <v/>
      </c>
      <c r="G105">
        <f>IF(F105=0,"NO QUOTA FOUND",IF(C105&gt;=F105*0.25,"On Track","Behind"))</f>
        <v/>
      </c>
      <c r="H105">
        <f>C105*IF(B105="West",0.95,1)</f>
        <v/>
      </c>
    </row>
    <row r="106">
      <c r="A106">
        <f>Raw_Bookings!A107</f>
        <v/>
      </c>
      <c r="B106">
        <f>IF(TRIM(LOWER(Raw_Bookings!D107))="east","East",IF(TRIM(LOWER(Raw_Bookings!D107))="west","West",IF(TRIM(LOWER(Raw_Bookings!D107))="central","Central",IF(TRIM(LOWER(Raw_Bookings!D107))="south","South","UNKNOWN"))))</f>
        <v/>
      </c>
      <c r="C106">
        <f>IFERROR(Raw_Bookings!H107*VLOOKUP(Raw_Bookings!I107,Rates!$A$2:$B$6,2,FALSE),Raw_Bookings!H107)</f>
        <v/>
      </c>
      <c r="D106">
        <f>IF(Raw_Bookings!F107="New License","NEW",IF(OR(Raw_Bookings!F107="Renewal",Raw_Bookings!F107="Support"),"RECURRING","OTHER"))</f>
        <v/>
      </c>
      <c r="E106">
        <f>IFERROR(VLOOKUP(Raw_Bookings!G107,Rep_Master!$A$2:$D$18,3,FALSE),"")</f>
        <v/>
      </c>
      <c r="F106">
        <f>IFERROR(VLOOKUP(E106,Rep_Targets!$A$2:$D$9,4,FALSE),0)</f>
        <v/>
      </c>
      <c r="G106">
        <f>IF(F106=0,"NO QUOTA FOUND",IF(C106&gt;=F106*0.25,"On Track","Behind"))</f>
        <v/>
      </c>
      <c r="H106">
        <f>C106*IF(B106="West",0.95,1)</f>
        <v/>
      </c>
    </row>
    <row r="107">
      <c r="A107">
        <f>Raw_Bookings!A108</f>
        <v/>
      </c>
      <c r="B107">
        <f>IF(TRIM(LOWER(Raw_Bookings!D108))="east","East",IF(TRIM(LOWER(Raw_Bookings!D108))="west","West",IF(TRIM(LOWER(Raw_Bookings!D108))="central","Central",IF(TRIM(LOWER(Raw_Bookings!D108))="south","South","UNKNOWN"))))</f>
        <v/>
      </c>
      <c r="C107">
        <f>IFERROR(Raw_Bookings!H108*VLOOKUP(Raw_Bookings!I108,Rates!$A$2:$B$6,2,FALSE),Raw_Bookings!H108)</f>
        <v/>
      </c>
      <c r="D107">
        <f>IF(Raw_Bookings!F108="New License","NEW",IF(OR(Raw_Bookings!F108="Renewal",Raw_Bookings!F108="Support"),"RECURRING","OTHER"))</f>
        <v/>
      </c>
      <c r="E107">
        <f>IFERROR(VLOOKUP(Raw_Bookings!G108,Rep_Master!$A$2:$D$18,3,FALSE),"")</f>
        <v/>
      </c>
      <c r="F107">
        <f>IFERROR(VLOOKUP(E107,Rep_Targets!$A$2:$D$9,4,FALSE),0)</f>
        <v/>
      </c>
      <c r="G107">
        <f>IF(F107=0,"NO QUOTA FOUND",IF(C107&gt;=F107*0.25,"On Track","Behind"))</f>
        <v/>
      </c>
      <c r="H107">
        <f>C107*IF(B107="West",0.95,1)</f>
        <v/>
      </c>
    </row>
    <row r="108">
      <c r="A108">
        <f>Raw_Bookings!A109</f>
        <v/>
      </c>
      <c r="B108">
        <f>IF(TRIM(LOWER(Raw_Bookings!D109))="east","East",IF(TRIM(LOWER(Raw_Bookings!D109))="west","West",IF(TRIM(LOWER(Raw_Bookings!D109))="central","Central",IF(TRIM(LOWER(Raw_Bookings!D109))="south","South","UNKNOWN"))))</f>
        <v/>
      </c>
      <c r="C108">
        <f>IFERROR(Raw_Bookings!H109*VLOOKUP(Raw_Bookings!I109,Rates!$A$2:$B$6,2,FALSE),Raw_Bookings!H109)</f>
        <v/>
      </c>
      <c r="D108">
        <f>IF(Raw_Bookings!F109="New License","NEW",IF(OR(Raw_Bookings!F109="Renewal",Raw_Bookings!F109="Support"),"RECURRING","OTHER"))</f>
        <v/>
      </c>
      <c r="E108">
        <f>IFERROR(VLOOKUP(Raw_Bookings!G109,Rep_Master!$A$2:$D$18,3,FALSE),"")</f>
        <v/>
      </c>
      <c r="F108">
        <f>IFERROR(VLOOKUP(E108,Rep_Targets!$A$2:$D$9,4,FALSE),0)</f>
        <v/>
      </c>
      <c r="G108">
        <f>IF(F108=0,"NO QUOTA FOUND",IF(C108&gt;=F108*0.25,"On Track","Behind"))</f>
        <v/>
      </c>
      <c r="H108">
        <f>C108*IF(B108="West",0.95,1)</f>
        <v/>
      </c>
    </row>
    <row r="109">
      <c r="A109">
        <f>Raw_Bookings!A110</f>
        <v/>
      </c>
      <c r="B109">
        <f>IF(TRIM(LOWER(Raw_Bookings!D110))="east","East",IF(TRIM(LOWER(Raw_Bookings!D110))="west","West",IF(TRIM(LOWER(Raw_Bookings!D110))="central","Central",IF(TRIM(LOWER(Raw_Bookings!D110))="south","South","UNKNOWN"))))</f>
        <v/>
      </c>
      <c r="C109">
        <f>IFERROR(Raw_Bookings!H110*VLOOKUP(Raw_Bookings!I110,Rates!$A$2:$B$6,2,FALSE),Raw_Bookings!H110)</f>
        <v/>
      </c>
      <c r="D109">
        <f>IF(Raw_Bookings!F110="New License","NEW",IF(OR(Raw_Bookings!F110="Renewal",Raw_Bookings!F110="Support"),"RECURRING","OTHER"))</f>
        <v/>
      </c>
      <c r="E109">
        <f>IFERROR(VLOOKUP(Raw_Bookings!G110,Rep_Master!$A$2:$D$18,3,FALSE),"")</f>
        <v/>
      </c>
      <c r="F109">
        <f>IFERROR(VLOOKUP(E109,Rep_Targets!$A$2:$D$9,4,FALSE),0)</f>
        <v/>
      </c>
      <c r="G109">
        <f>IF(F109=0,"NO QUOTA FOUND",IF(C109&gt;=F109*0.25,"On Track","Behind"))</f>
        <v/>
      </c>
      <c r="H109">
        <f>C109*IF(B109="West",0.95,1)</f>
        <v/>
      </c>
    </row>
    <row r="110">
      <c r="A110">
        <f>Raw_Bookings!A111</f>
        <v/>
      </c>
      <c r="B110">
        <f>IF(TRIM(LOWER(Raw_Bookings!D111))="east","East",IF(TRIM(LOWER(Raw_Bookings!D111))="west","West",IF(TRIM(LOWER(Raw_Bookings!D111))="central","Central",IF(TRIM(LOWER(Raw_Bookings!D111))="south","South","UNKNOWN"))))</f>
        <v/>
      </c>
      <c r="C110">
        <f>IFERROR(Raw_Bookings!H111*VLOOKUP(Raw_Bookings!I111,Rates!$A$2:$B$6,2,FALSE),Raw_Bookings!H111)</f>
        <v/>
      </c>
      <c r="D110">
        <f>IF(Raw_Bookings!F111="New License","NEW",IF(OR(Raw_Bookings!F111="Renewal",Raw_Bookings!F111="Support"),"RECURRING","OTHER"))</f>
        <v/>
      </c>
      <c r="E110">
        <f>IFERROR(VLOOKUP(Raw_Bookings!G111,Rep_Master!$A$2:$D$18,3,FALSE),"")</f>
        <v/>
      </c>
      <c r="F110">
        <f>IFERROR(VLOOKUP(E110,Rep_Targets!$A$2:$D$9,4,FALSE),0)</f>
        <v/>
      </c>
      <c r="G110">
        <f>IF(F110=0,"NO QUOTA FOUND",IF(C110&gt;=F110*0.25,"On Track","Behind"))</f>
        <v/>
      </c>
      <c r="H110">
        <f>C110*IF(B110="West",0.95,1)</f>
        <v/>
      </c>
    </row>
    <row r="111">
      <c r="A111">
        <f>Raw_Bookings!A112</f>
        <v/>
      </c>
      <c r="B111">
        <f>IF(TRIM(LOWER(Raw_Bookings!D112))="east","East",IF(TRIM(LOWER(Raw_Bookings!D112))="west","West",IF(TRIM(LOWER(Raw_Bookings!D112))="central","Central",IF(TRIM(LOWER(Raw_Bookings!D112))="south","South","UNKNOWN"))))</f>
        <v/>
      </c>
      <c r="C111">
        <f>IFERROR(Raw_Bookings!H112*VLOOKUP(Raw_Bookings!I112,Rates!$A$2:$B$6,2,FALSE),Raw_Bookings!H112)</f>
        <v/>
      </c>
      <c r="D111">
        <f>IF(Raw_Bookings!F112="New License","NEW",IF(OR(Raw_Bookings!F112="Renewal",Raw_Bookings!F112="Support"),"RECURRING","OTHER"))</f>
        <v/>
      </c>
      <c r="E111">
        <f>IFERROR(VLOOKUP(Raw_Bookings!G112,Rep_Master!$A$2:$D$18,3,FALSE),"")</f>
        <v/>
      </c>
      <c r="F111">
        <f>IFERROR(VLOOKUP(E111,Rep_Targets!$A$2:$D$9,4,FALSE),0)</f>
        <v/>
      </c>
      <c r="G111">
        <f>IF(F111=0,"NO QUOTA FOUND",IF(C111&gt;=F111*0.25,"On Track","Behind"))</f>
        <v/>
      </c>
      <c r="H111">
        <f>C111*IF(B111="West",0.95,1)</f>
        <v/>
      </c>
    </row>
    <row r="112">
      <c r="A112">
        <f>Raw_Bookings!A113</f>
        <v/>
      </c>
      <c r="B112">
        <f>IF(TRIM(LOWER(Raw_Bookings!D113))="east","East",IF(TRIM(LOWER(Raw_Bookings!D113))="west","West",IF(TRIM(LOWER(Raw_Bookings!D113))="central","Central",IF(TRIM(LOWER(Raw_Bookings!D113))="south","South","UNKNOWN"))))</f>
        <v/>
      </c>
      <c r="C112">
        <f>IFERROR(Raw_Bookings!H113*VLOOKUP(Raw_Bookings!I113,Rates!$A$2:$B$6,2,FALSE),Raw_Bookings!H113)</f>
        <v/>
      </c>
      <c r="D112">
        <f>IF(Raw_Bookings!F113="New License","NEW",IF(OR(Raw_Bookings!F113="Renewal",Raw_Bookings!F113="Support"),"RECURRING","OTHER"))</f>
        <v/>
      </c>
      <c r="E112">
        <f>IFERROR(VLOOKUP(Raw_Bookings!G113,Rep_Master!$A$2:$D$18,3,FALSE),"")</f>
        <v/>
      </c>
      <c r="F112">
        <f>IFERROR(VLOOKUP(E112,Rep_Targets!$A$2:$D$9,4,FALSE),0)</f>
        <v/>
      </c>
      <c r="G112">
        <f>IF(F112=0,"NO QUOTA FOUND",IF(C112&gt;=F112*0.25,"On Track","Behind"))</f>
        <v/>
      </c>
      <c r="H112">
        <f>C112*IF(B112="West",0.95,1)</f>
        <v/>
      </c>
    </row>
    <row r="113">
      <c r="A113">
        <f>Raw_Bookings!A114</f>
        <v/>
      </c>
      <c r="B113">
        <f>IF(TRIM(LOWER(Raw_Bookings!D114))="east","East",IF(TRIM(LOWER(Raw_Bookings!D114))="west","West",IF(TRIM(LOWER(Raw_Bookings!D114))="central","Central",IF(TRIM(LOWER(Raw_Bookings!D114))="south","South","UNKNOWN"))))</f>
        <v/>
      </c>
      <c r="C113">
        <f>IFERROR(Raw_Bookings!H114*VLOOKUP(Raw_Bookings!I114,Rates!$A$2:$B$6,2,FALSE),Raw_Bookings!H114)</f>
        <v/>
      </c>
      <c r="D113">
        <f>IF(Raw_Bookings!F114="New License","NEW",IF(OR(Raw_Bookings!F114="Renewal",Raw_Bookings!F114="Support"),"RECURRING","OTHER"))</f>
        <v/>
      </c>
      <c r="E113">
        <f>IFERROR(VLOOKUP(Raw_Bookings!G114,Rep_Master!$A$2:$D$18,3,FALSE),"")</f>
        <v/>
      </c>
      <c r="F113">
        <f>IFERROR(VLOOKUP(E113,Rep_Targets!$A$2:$D$9,4,FALSE),0)</f>
        <v/>
      </c>
      <c r="G113">
        <f>IF(F113=0,"NO QUOTA FOUND",IF(C113&gt;=F113*0.25,"On Track","Behind"))</f>
        <v/>
      </c>
      <c r="H113">
        <f>C113*IF(B113="West",0.95,1)</f>
        <v/>
      </c>
    </row>
    <row r="114">
      <c r="A114">
        <f>Raw_Bookings!A115</f>
        <v/>
      </c>
      <c r="B114">
        <f>IF(TRIM(LOWER(Raw_Bookings!D115))="east","East",IF(TRIM(LOWER(Raw_Bookings!D115))="west","West",IF(TRIM(LOWER(Raw_Bookings!D115))="central","Central",IF(TRIM(LOWER(Raw_Bookings!D115))="south","South","UNKNOWN"))))</f>
        <v/>
      </c>
      <c r="C114">
        <f>IFERROR(Raw_Bookings!H115*VLOOKUP(Raw_Bookings!I115,Rates!$A$2:$B$6,2,FALSE),Raw_Bookings!H115)</f>
        <v/>
      </c>
      <c r="D114">
        <f>IF(Raw_Bookings!F115="New License","NEW",IF(OR(Raw_Bookings!F115="Renewal",Raw_Bookings!F115="Support"),"RECURRING","OTHER"))</f>
        <v/>
      </c>
      <c r="E114">
        <f>IFERROR(VLOOKUP(Raw_Bookings!G115,Rep_Master!$A$2:$D$18,3,FALSE),"")</f>
        <v/>
      </c>
      <c r="F114">
        <f>IFERROR(VLOOKUP(E114,Rep_Targets!$A$2:$D$9,4,FALSE),0)</f>
        <v/>
      </c>
      <c r="G114">
        <f>IF(F114=0,"NO QUOTA FOUND",IF(C114&gt;=F114*0.25,"On Track","Behind"))</f>
        <v/>
      </c>
      <c r="H114">
        <f>C114*IF(B114="West",0.95,1)</f>
        <v/>
      </c>
    </row>
    <row r="115">
      <c r="A115">
        <f>Raw_Bookings!A116</f>
        <v/>
      </c>
      <c r="B115">
        <f>IF(TRIM(LOWER(Raw_Bookings!D116))="east","East",IF(TRIM(LOWER(Raw_Bookings!D116))="west","West",IF(TRIM(LOWER(Raw_Bookings!D116))="central","Central",IF(TRIM(LOWER(Raw_Bookings!D116))="south","South","UNKNOWN"))))</f>
        <v/>
      </c>
      <c r="C115">
        <f>IFERROR(Raw_Bookings!H116*VLOOKUP(Raw_Bookings!I116,Rates!$A$2:$B$6,2,FALSE),Raw_Bookings!H116)</f>
        <v/>
      </c>
      <c r="D115">
        <f>IF(Raw_Bookings!F116="New License","NEW",IF(OR(Raw_Bookings!F116="Renewal",Raw_Bookings!F116="Support"),"RECURRING","OTHER"))</f>
        <v/>
      </c>
      <c r="E115">
        <f>IFERROR(VLOOKUP(Raw_Bookings!G116,Rep_Master!$A$2:$D$18,3,FALSE),"")</f>
        <v/>
      </c>
      <c r="F115">
        <f>IFERROR(VLOOKUP(E115,Rep_Targets!$A$2:$D$9,4,FALSE),0)</f>
        <v/>
      </c>
      <c r="G115">
        <f>IF(F115=0,"NO QUOTA FOUND",IF(C115&gt;=F115*0.25,"On Track","Behind"))</f>
        <v/>
      </c>
      <c r="H115">
        <f>C115*IF(B115="West",0.95,1)</f>
        <v/>
      </c>
    </row>
    <row r="116">
      <c r="A116">
        <f>Raw_Bookings!A117</f>
        <v/>
      </c>
      <c r="B116">
        <f>IF(TRIM(LOWER(Raw_Bookings!D117))="east","East",IF(TRIM(LOWER(Raw_Bookings!D117))="west","West",IF(TRIM(LOWER(Raw_Bookings!D117))="central","Central",IF(TRIM(LOWER(Raw_Bookings!D117))="south","South","UNKNOWN"))))</f>
        <v/>
      </c>
      <c r="C116">
        <f>IFERROR(Raw_Bookings!H117*VLOOKUP(Raw_Bookings!I117,Rates!$A$2:$B$6,2,FALSE),Raw_Bookings!H117)</f>
        <v/>
      </c>
      <c r="D116">
        <f>IF(Raw_Bookings!F117="New License","NEW",IF(OR(Raw_Bookings!F117="Renewal",Raw_Bookings!F117="Support"),"RECURRING","OTHER"))</f>
        <v/>
      </c>
      <c r="E116">
        <f>IFERROR(VLOOKUP(Raw_Bookings!G117,Rep_Master!$A$2:$D$18,3,FALSE),"")</f>
        <v/>
      </c>
      <c r="F116">
        <f>IFERROR(VLOOKUP(E116,Rep_Targets!$A$2:$D$9,4,FALSE),0)</f>
        <v/>
      </c>
      <c r="G116">
        <f>IF(F116=0,"NO QUOTA FOUND",IF(C116&gt;=F116*0.25,"On Track","Behind"))</f>
        <v/>
      </c>
      <c r="H116">
        <f>C116*IF(B116="West",0.95,1)</f>
        <v/>
      </c>
    </row>
    <row r="117">
      <c r="A117">
        <f>Raw_Bookings!A118</f>
        <v/>
      </c>
      <c r="B117">
        <f>IF(TRIM(LOWER(Raw_Bookings!D118))="east","East",IF(TRIM(LOWER(Raw_Bookings!D118))="west","West",IF(TRIM(LOWER(Raw_Bookings!D118))="central","Central",IF(TRIM(LOWER(Raw_Bookings!D118))="south","South","UNKNOWN"))))</f>
        <v/>
      </c>
      <c r="C117">
        <f>IFERROR(Raw_Bookings!H118*VLOOKUP(Raw_Bookings!I118,Rates!$A$2:$B$6,2,FALSE),Raw_Bookings!H118)</f>
        <v/>
      </c>
      <c r="D117">
        <f>IF(Raw_Bookings!F118="New License","NEW",IF(OR(Raw_Bookings!F118="Renewal",Raw_Bookings!F118="Support"),"RECURRING","OTHER"))</f>
        <v/>
      </c>
      <c r="E117">
        <f>IFERROR(VLOOKUP(Raw_Bookings!G118,Rep_Master!$A$2:$D$18,3,FALSE),"")</f>
        <v/>
      </c>
      <c r="F117">
        <f>IFERROR(VLOOKUP(E117,Rep_Targets!$A$2:$D$9,4,FALSE),0)</f>
        <v/>
      </c>
      <c r="G117">
        <f>IF(F117=0,"NO QUOTA FOUND",IF(C117&gt;=F117*0.25,"On Track","Behind"))</f>
        <v/>
      </c>
      <c r="H117">
        <f>C117*IF(B117="West",0.95,1)</f>
        <v/>
      </c>
    </row>
    <row r="118">
      <c r="A118">
        <f>Raw_Bookings!A119</f>
        <v/>
      </c>
      <c r="B118">
        <f>IF(TRIM(LOWER(Raw_Bookings!D119))="east","East",IF(TRIM(LOWER(Raw_Bookings!D119))="west","West",IF(TRIM(LOWER(Raw_Bookings!D119))="central","Central",IF(TRIM(LOWER(Raw_Bookings!D119))="south","South","UNKNOWN"))))</f>
        <v/>
      </c>
      <c r="C118">
        <f>IFERROR(Raw_Bookings!H119*VLOOKUP(Raw_Bookings!I119,Rates!$A$2:$B$6,2,FALSE),Raw_Bookings!H119)</f>
        <v/>
      </c>
      <c r="D118">
        <f>IF(Raw_Bookings!F119="New License","NEW",IF(OR(Raw_Bookings!F119="Renewal",Raw_Bookings!F119="Support"),"RECURRING","OTHER"))</f>
        <v/>
      </c>
      <c r="E118">
        <f>IFERROR(VLOOKUP(Raw_Bookings!G119,Rep_Master!$A$2:$D$18,3,FALSE),"")</f>
        <v/>
      </c>
      <c r="F118">
        <f>IFERROR(VLOOKUP(E118,Rep_Targets!$A$2:$D$9,4,FALSE),0)</f>
        <v/>
      </c>
      <c r="G118">
        <f>IF(F118=0,"NO QUOTA FOUND",IF(C118&gt;=F118*0.25,"On Track","Behind"))</f>
        <v/>
      </c>
      <c r="H118">
        <f>C118*IF(B118="West",0.95,1)</f>
        <v/>
      </c>
    </row>
    <row r="119">
      <c r="A119">
        <f>Raw_Bookings!A120</f>
        <v/>
      </c>
      <c r="B119">
        <f>IF(TRIM(LOWER(Raw_Bookings!D120))="east","East",IF(TRIM(LOWER(Raw_Bookings!D120))="west","West",IF(TRIM(LOWER(Raw_Bookings!D120))="central","Central",IF(TRIM(LOWER(Raw_Bookings!D120))="south","South","UNKNOWN"))))</f>
        <v/>
      </c>
      <c r="C119">
        <f>IFERROR(Raw_Bookings!H120*VLOOKUP(Raw_Bookings!I120,Rates!$A$2:$B$6,2,FALSE),Raw_Bookings!H120)</f>
        <v/>
      </c>
      <c r="D119">
        <f>IF(Raw_Bookings!F120="New License","NEW",IF(OR(Raw_Bookings!F120="Renewal",Raw_Bookings!F120="Support"),"RECURRING","OTHER"))</f>
        <v/>
      </c>
      <c r="E119">
        <f>IFERROR(VLOOKUP(Raw_Bookings!G120,Rep_Master!$A$2:$D$18,3,FALSE),"")</f>
        <v/>
      </c>
      <c r="F119">
        <f>IFERROR(VLOOKUP(E119,Rep_Targets!$A$2:$D$9,4,FALSE),0)</f>
        <v/>
      </c>
      <c r="G119">
        <f>IF(F119=0,"NO QUOTA FOUND",IF(C119&gt;=F119*0.25,"On Track","Behind"))</f>
        <v/>
      </c>
      <c r="H119">
        <f>C119*IF(B119="West",0.95,1)</f>
        <v/>
      </c>
    </row>
    <row r="120">
      <c r="A120">
        <f>Raw_Bookings!A121</f>
        <v/>
      </c>
      <c r="B120">
        <f>IF(TRIM(LOWER(Raw_Bookings!D121))="east","East",IF(TRIM(LOWER(Raw_Bookings!D121))="west","West",IF(TRIM(LOWER(Raw_Bookings!D121))="central","Central",IF(TRIM(LOWER(Raw_Bookings!D121))="south","South","UNKNOWN"))))</f>
        <v/>
      </c>
      <c r="C120">
        <f>IFERROR(Raw_Bookings!H121*VLOOKUP(Raw_Bookings!I121,Rates!$A$2:$B$6,2,FALSE),Raw_Bookings!H121)</f>
        <v/>
      </c>
      <c r="D120">
        <f>IF(Raw_Bookings!F121="New License","NEW",IF(OR(Raw_Bookings!F121="Renewal",Raw_Bookings!F121="Support"),"RECURRING","OTHER"))</f>
        <v/>
      </c>
      <c r="E120">
        <f>IFERROR(VLOOKUP(Raw_Bookings!G121,Rep_Master!$A$2:$D$18,3,FALSE),"")</f>
        <v/>
      </c>
      <c r="F120">
        <f>IFERROR(VLOOKUP(E120,Rep_Targets!$A$2:$D$9,4,FALSE),0)</f>
        <v/>
      </c>
      <c r="G120">
        <f>IF(F120=0,"NO QUOTA FOUND",IF(C120&gt;=F120*0.25,"On Track","Behind"))</f>
        <v/>
      </c>
      <c r="H120">
        <f>C120*IF(B120="West",0.95,1)</f>
        <v/>
      </c>
    </row>
    <row r="121">
      <c r="A121">
        <f>Raw_Bookings!A122</f>
        <v/>
      </c>
      <c r="B121">
        <f>IF(TRIM(LOWER(Raw_Bookings!D122))="east","East",IF(TRIM(LOWER(Raw_Bookings!D122))="west","West",IF(TRIM(LOWER(Raw_Bookings!D122))="central","Central",IF(TRIM(LOWER(Raw_Bookings!D122))="south","South","UNKNOWN"))))</f>
        <v/>
      </c>
      <c r="C121">
        <f>IFERROR(Raw_Bookings!H122*VLOOKUP(Raw_Bookings!I122,Rates!$A$2:$B$6,2,FALSE),Raw_Bookings!H122)</f>
        <v/>
      </c>
      <c r="D121">
        <f>IF(Raw_Bookings!F122="New License","NEW",IF(OR(Raw_Bookings!F122="Renewal",Raw_Bookings!F122="Support"),"RECURRING","OTHER"))</f>
        <v/>
      </c>
      <c r="E121">
        <f>IFERROR(VLOOKUP(Raw_Bookings!G122,Rep_Master!$A$2:$D$18,3,FALSE),"")</f>
        <v/>
      </c>
      <c r="F121">
        <f>IFERROR(VLOOKUP(E121,Rep_Targets!$A$2:$D$9,4,FALSE),0)</f>
        <v/>
      </c>
      <c r="G121">
        <f>IF(F121=0,"NO QUOTA FOUND",IF(C121&gt;=F121*0.25,"On Track","Behind"))</f>
        <v/>
      </c>
      <c r="H121">
        <f>C121*IF(B121="West",0.95,1)</f>
        <v/>
      </c>
    </row>
    <row r="122">
      <c r="A122">
        <f>Raw_Bookings!A123</f>
        <v/>
      </c>
      <c r="B122">
        <f>IF(TRIM(LOWER(Raw_Bookings!D123))="east","East",IF(TRIM(LOWER(Raw_Bookings!D123))="west","West",IF(TRIM(LOWER(Raw_Bookings!D123))="central","Central",IF(TRIM(LOWER(Raw_Bookings!D123))="south","South","UNKNOWN"))))</f>
        <v/>
      </c>
      <c r="C122">
        <f>IFERROR(Raw_Bookings!H123*VLOOKUP(Raw_Bookings!I123,Rates!$A$2:$B$6,2,FALSE),Raw_Bookings!H123)</f>
        <v/>
      </c>
      <c r="D122">
        <f>IF(Raw_Bookings!F123="New License","NEW",IF(OR(Raw_Bookings!F123="Renewal",Raw_Bookings!F123="Support"),"RECURRING","OTHER"))</f>
        <v/>
      </c>
      <c r="E122">
        <f>IFERROR(VLOOKUP(Raw_Bookings!G123,Rep_Master!$A$2:$D$18,3,FALSE),"")</f>
        <v/>
      </c>
      <c r="F122">
        <f>IFERROR(VLOOKUP(E122,Rep_Targets!$A$2:$D$9,4,FALSE),0)</f>
        <v/>
      </c>
      <c r="G122">
        <f>IF(F122=0,"NO QUOTA FOUND",IF(C122&gt;=F122*0.25,"On Track","Behind"))</f>
        <v/>
      </c>
      <c r="H122">
        <f>C122*IF(B122="West",0.95,1)</f>
        <v/>
      </c>
    </row>
    <row r="123">
      <c r="A123">
        <f>Raw_Bookings!A124</f>
        <v/>
      </c>
      <c r="B123">
        <f>IF(TRIM(LOWER(Raw_Bookings!D124))="east","East",IF(TRIM(LOWER(Raw_Bookings!D124))="west","West",IF(TRIM(LOWER(Raw_Bookings!D124))="central","Central",IF(TRIM(LOWER(Raw_Bookings!D124))="south","South","UNKNOWN"))))</f>
        <v/>
      </c>
      <c r="C123">
        <f>IFERROR(Raw_Bookings!H124*VLOOKUP(Raw_Bookings!I124,Rates!$A$2:$B$6,2,FALSE),Raw_Bookings!H124)</f>
        <v/>
      </c>
      <c r="D123">
        <f>IF(Raw_Bookings!F124="New License","NEW",IF(OR(Raw_Bookings!F124="Renewal",Raw_Bookings!F124="Support"),"RECURRING","OTHER"))</f>
        <v/>
      </c>
      <c r="E123">
        <f>IFERROR(VLOOKUP(Raw_Bookings!G124,Rep_Master!$A$2:$D$18,3,FALSE),"")</f>
        <v/>
      </c>
      <c r="F123">
        <f>IFERROR(VLOOKUP(E123,Rep_Targets!$A$2:$D$9,4,FALSE),0)</f>
        <v/>
      </c>
      <c r="G123">
        <f>IF(F123=0,"NO QUOTA FOUND",IF(C123&gt;=F123*0.25,"On Track","Behind"))</f>
        <v/>
      </c>
      <c r="H123">
        <f>C123*IF(B123="West",0.95,1)</f>
        <v/>
      </c>
    </row>
    <row r="124">
      <c r="A124">
        <f>Raw_Bookings!A125</f>
        <v/>
      </c>
      <c r="B124">
        <f>IF(TRIM(LOWER(Raw_Bookings!D125))="east","East",IF(TRIM(LOWER(Raw_Bookings!D125))="west","West",IF(TRIM(LOWER(Raw_Bookings!D125))="central","Central",IF(TRIM(LOWER(Raw_Bookings!D125))="south","South","UNKNOWN"))))</f>
        <v/>
      </c>
      <c r="C124">
        <f>IFERROR(Raw_Bookings!H125*VLOOKUP(Raw_Bookings!I125,Rates!$A$2:$B$6,2,FALSE),Raw_Bookings!H125)</f>
        <v/>
      </c>
      <c r="D124">
        <f>IF(Raw_Bookings!F125="New License","NEW",IF(OR(Raw_Bookings!F125="Renewal",Raw_Bookings!F125="Support"),"RECURRING","OTHER"))</f>
        <v/>
      </c>
      <c r="E124">
        <f>IFERROR(VLOOKUP(Raw_Bookings!G125,Rep_Master!$A$2:$D$18,3,FALSE),"")</f>
        <v/>
      </c>
      <c r="F124">
        <f>IFERROR(VLOOKUP(E124,Rep_Targets!$A$2:$D$9,4,FALSE),0)</f>
        <v/>
      </c>
      <c r="G124">
        <f>IF(F124=0,"NO QUOTA FOUND",IF(C124&gt;=F124*0.25,"On Track","Behind"))</f>
        <v/>
      </c>
      <c r="H124">
        <f>C124*IF(B124="West",0.95,1)</f>
        <v/>
      </c>
    </row>
    <row r="125">
      <c r="A125">
        <f>Raw_Bookings!A126</f>
        <v/>
      </c>
      <c r="B125">
        <f>IF(TRIM(LOWER(Raw_Bookings!D126))="east","East",IF(TRIM(LOWER(Raw_Bookings!D126))="west","West",IF(TRIM(LOWER(Raw_Bookings!D126))="central","Central",IF(TRIM(LOWER(Raw_Bookings!D126))="south","South","UNKNOWN"))))</f>
        <v/>
      </c>
      <c r="C125">
        <f>IFERROR(Raw_Bookings!H126*VLOOKUP(Raw_Bookings!I126,Rates!$A$2:$B$6,2,FALSE),Raw_Bookings!H126)</f>
        <v/>
      </c>
      <c r="D125">
        <f>IF(Raw_Bookings!F126="New License","NEW",IF(OR(Raw_Bookings!F126="Renewal",Raw_Bookings!F126="Support"),"RECURRING","OTHER"))</f>
        <v/>
      </c>
      <c r="E125">
        <f>IFERROR(VLOOKUP(Raw_Bookings!G126,Rep_Master!$A$2:$D$18,3,FALSE),"")</f>
        <v/>
      </c>
      <c r="F125">
        <f>IFERROR(VLOOKUP(E125,Rep_Targets!$A$2:$D$9,4,FALSE),0)</f>
        <v/>
      </c>
      <c r="G125">
        <f>IF(F125=0,"NO QUOTA FOUND",IF(C125&gt;=F125*0.25,"On Track","Behind"))</f>
        <v/>
      </c>
      <c r="H125">
        <f>C125*IF(B125="West",0.95,1)</f>
        <v/>
      </c>
    </row>
    <row r="126">
      <c r="A126">
        <f>Raw_Bookings!A127</f>
        <v/>
      </c>
      <c r="B126">
        <f>IF(TRIM(LOWER(Raw_Bookings!D127))="east","East",IF(TRIM(LOWER(Raw_Bookings!D127))="west","West",IF(TRIM(LOWER(Raw_Bookings!D127))="central","Central",IF(TRIM(LOWER(Raw_Bookings!D127))="south","South","UNKNOWN"))))</f>
        <v/>
      </c>
      <c r="C126">
        <f>IFERROR(Raw_Bookings!H127*VLOOKUP(Raw_Bookings!I127,Rates!$A$2:$B$6,2,FALSE),Raw_Bookings!H127)</f>
        <v/>
      </c>
      <c r="D126">
        <f>IF(Raw_Bookings!F127="New License","NEW",IF(OR(Raw_Bookings!F127="Renewal",Raw_Bookings!F127="Support"),"RECURRING","OTHER"))</f>
        <v/>
      </c>
      <c r="E126">
        <f>IFERROR(VLOOKUP(Raw_Bookings!G127,Rep_Master!$A$2:$D$18,3,FALSE),"")</f>
        <v/>
      </c>
      <c r="F126">
        <f>IFERROR(VLOOKUP(E126,Rep_Targets!$A$2:$D$9,4,FALSE),0)</f>
        <v/>
      </c>
      <c r="G126">
        <f>IF(F126=0,"NO QUOTA FOUND",IF(C126&gt;=F126*0.25,"On Track","Behind"))</f>
        <v/>
      </c>
      <c r="H126">
        <f>C126*IF(B126="West",0.95,1)</f>
        <v/>
      </c>
    </row>
    <row r="127">
      <c r="A127">
        <f>Raw_Bookings!A128</f>
        <v/>
      </c>
      <c r="B127">
        <f>IF(TRIM(LOWER(Raw_Bookings!D128))="east","East",IF(TRIM(LOWER(Raw_Bookings!D128))="west","West",IF(TRIM(LOWER(Raw_Bookings!D128))="central","Central",IF(TRIM(LOWER(Raw_Bookings!D128))="south","South","UNKNOWN"))))</f>
        <v/>
      </c>
      <c r="C127">
        <f>IFERROR(Raw_Bookings!H128*VLOOKUP(Raw_Bookings!I128,Rates!$A$2:$B$6,2,FALSE),Raw_Bookings!H128)</f>
        <v/>
      </c>
      <c r="D127">
        <f>IF(Raw_Bookings!F128="New License","NEW",IF(OR(Raw_Bookings!F128="Renewal",Raw_Bookings!F128="Support"),"RECURRING","OTHER"))</f>
        <v/>
      </c>
      <c r="E127">
        <f>IFERROR(VLOOKUP(Raw_Bookings!G128,Rep_Master!$A$2:$D$18,3,FALSE),"")</f>
        <v/>
      </c>
      <c r="F127">
        <f>IFERROR(VLOOKUP(E127,Rep_Targets!$A$2:$D$9,4,FALSE),0)</f>
        <v/>
      </c>
      <c r="G127">
        <f>IF(F127=0,"NO QUOTA FOUND",IF(C127&gt;=F127*0.25,"On Track","Behind"))</f>
        <v/>
      </c>
      <c r="H127">
        <f>C127*IF(B127="West",0.95,1)</f>
        <v/>
      </c>
    </row>
    <row r="128">
      <c r="A128">
        <f>Raw_Bookings!A129</f>
        <v/>
      </c>
      <c r="B128">
        <f>IF(TRIM(LOWER(Raw_Bookings!D129))="east","East",IF(TRIM(LOWER(Raw_Bookings!D129))="west","West",IF(TRIM(LOWER(Raw_Bookings!D129))="central","Central",IF(TRIM(LOWER(Raw_Bookings!D129))="south","South","UNKNOWN"))))</f>
        <v/>
      </c>
      <c r="C128">
        <f>IFERROR(Raw_Bookings!H129*VLOOKUP(Raw_Bookings!I129,Rates!$A$2:$B$6,2,FALSE),Raw_Bookings!H129)</f>
        <v/>
      </c>
      <c r="D128">
        <f>IF(Raw_Bookings!F129="New License","NEW",IF(OR(Raw_Bookings!F129="Renewal",Raw_Bookings!F129="Support"),"RECURRING","OTHER"))</f>
        <v/>
      </c>
      <c r="E128">
        <f>IFERROR(VLOOKUP(Raw_Bookings!G129,Rep_Master!$A$2:$D$18,3,FALSE),"")</f>
        <v/>
      </c>
      <c r="F128">
        <f>IFERROR(VLOOKUP(E128,Rep_Targets!$A$2:$D$9,4,FALSE),0)</f>
        <v/>
      </c>
      <c r="G128">
        <f>IF(F128=0,"NO QUOTA FOUND",IF(C128&gt;=F128*0.25,"On Track","Behind"))</f>
        <v/>
      </c>
      <c r="H128">
        <f>C128*IF(B128="West",0.95,1)</f>
        <v/>
      </c>
    </row>
    <row r="129">
      <c r="A129">
        <f>Raw_Bookings!A130</f>
        <v/>
      </c>
      <c r="B129">
        <f>IF(TRIM(LOWER(Raw_Bookings!D130))="east","East",IF(TRIM(LOWER(Raw_Bookings!D130))="west","West",IF(TRIM(LOWER(Raw_Bookings!D130))="central","Central",IF(TRIM(LOWER(Raw_Bookings!D130))="south","South","UNKNOWN"))))</f>
        <v/>
      </c>
      <c r="C129">
        <f>IFERROR(Raw_Bookings!H130*VLOOKUP(Raw_Bookings!I130,Rates!$A$2:$B$6,2,FALSE),Raw_Bookings!H130)</f>
        <v/>
      </c>
      <c r="D129">
        <f>IF(Raw_Bookings!F130="New License","NEW",IF(OR(Raw_Bookings!F130="Renewal",Raw_Bookings!F130="Support"),"RECURRING","OTHER"))</f>
        <v/>
      </c>
      <c r="E129">
        <f>IFERROR(VLOOKUP(Raw_Bookings!G130,Rep_Master!$A$2:$D$18,3,FALSE),"")</f>
        <v/>
      </c>
      <c r="F129">
        <f>IFERROR(VLOOKUP(E129,Rep_Targets!$A$2:$D$9,4,FALSE),0)</f>
        <v/>
      </c>
      <c r="G129">
        <f>IF(F129=0,"NO QUOTA FOUND",IF(C129&gt;=F129*0.25,"On Track","Behind"))</f>
        <v/>
      </c>
      <c r="H129">
        <f>C129*IF(B129="West",0.95,1)</f>
        <v/>
      </c>
    </row>
    <row r="130">
      <c r="A130">
        <f>Raw_Bookings!A131</f>
        <v/>
      </c>
      <c r="B130">
        <f>IF(TRIM(LOWER(Raw_Bookings!D131))="east","East",IF(TRIM(LOWER(Raw_Bookings!D131))="west","West",IF(TRIM(LOWER(Raw_Bookings!D131))="central","Central",IF(TRIM(LOWER(Raw_Bookings!D131))="south","South","UNKNOWN"))))</f>
        <v/>
      </c>
      <c r="C130">
        <f>IFERROR(Raw_Bookings!H131*VLOOKUP(Raw_Bookings!I131,Rates!$A$2:$B$6,2,FALSE),Raw_Bookings!H131)</f>
        <v/>
      </c>
      <c r="D130">
        <f>IF(Raw_Bookings!F131="New License","NEW",IF(OR(Raw_Bookings!F131="Renewal",Raw_Bookings!F131="Support"),"RECURRING","OTHER"))</f>
        <v/>
      </c>
      <c r="E130">
        <f>IFERROR(VLOOKUP(Raw_Bookings!G131,Rep_Master!$A$2:$D$18,3,FALSE),"")</f>
        <v/>
      </c>
      <c r="F130">
        <f>IFERROR(VLOOKUP(E130,Rep_Targets!$A$2:$D$9,4,FALSE),0)</f>
        <v/>
      </c>
      <c r="G130">
        <f>IF(F130=0,"NO QUOTA FOUND",IF(C130&gt;=F130*0.25,"On Track","Behind"))</f>
        <v/>
      </c>
      <c r="H130">
        <f>C130*IF(B130="West",0.95,1)</f>
        <v/>
      </c>
    </row>
    <row r="131">
      <c r="A131">
        <f>Raw_Bookings!A132</f>
        <v/>
      </c>
      <c r="B131">
        <f>IF(TRIM(LOWER(Raw_Bookings!D132))="east","East",IF(TRIM(LOWER(Raw_Bookings!D132))="west","West",IF(TRIM(LOWER(Raw_Bookings!D132))="central","Central",IF(TRIM(LOWER(Raw_Bookings!D132))="south","South","UNKNOWN"))))</f>
        <v/>
      </c>
      <c r="C131">
        <f>IFERROR(Raw_Bookings!H132*VLOOKUP(Raw_Bookings!I132,Rates!$A$2:$B$6,2,FALSE),Raw_Bookings!H132)</f>
        <v/>
      </c>
      <c r="D131">
        <f>IF(Raw_Bookings!F132="New License","NEW",IF(OR(Raw_Bookings!F132="Renewal",Raw_Bookings!F132="Support"),"RECURRING","OTHER"))</f>
        <v/>
      </c>
      <c r="E131">
        <f>IFERROR(VLOOKUP(Raw_Bookings!G132,Rep_Master!$A$2:$D$18,3,FALSE),"")</f>
        <v/>
      </c>
      <c r="F131">
        <f>IFERROR(VLOOKUP(E131,Rep_Targets!$A$2:$D$9,4,FALSE),0)</f>
        <v/>
      </c>
      <c r="G131">
        <f>IF(F131=0,"NO QUOTA FOUND",IF(C131&gt;=F131*0.25,"On Track","Behind"))</f>
        <v/>
      </c>
      <c r="H131">
        <f>C131*IF(B131="West",0.95,1)</f>
        <v/>
      </c>
    </row>
    <row r="132">
      <c r="A132">
        <f>Raw_Bookings!A133</f>
        <v/>
      </c>
      <c r="B132">
        <f>IF(TRIM(LOWER(Raw_Bookings!D133))="east","East",IF(TRIM(LOWER(Raw_Bookings!D133))="west","West",IF(TRIM(LOWER(Raw_Bookings!D133))="central","Central",IF(TRIM(LOWER(Raw_Bookings!D133))="south","South","UNKNOWN"))))</f>
        <v/>
      </c>
      <c r="C132">
        <f>IFERROR(Raw_Bookings!H133*VLOOKUP(Raw_Bookings!I133,Rates!$A$2:$B$6,2,FALSE),Raw_Bookings!H133)</f>
        <v/>
      </c>
      <c r="D132">
        <f>IF(Raw_Bookings!F133="New License","NEW",IF(OR(Raw_Bookings!F133="Renewal",Raw_Bookings!F133="Support"),"RECURRING","OTHER"))</f>
        <v/>
      </c>
      <c r="E132">
        <f>IFERROR(VLOOKUP(Raw_Bookings!G133,Rep_Master!$A$2:$D$18,3,FALSE),"")</f>
        <v/>
      </c>
      <c r="F132">
        <f>IFERROR(VLOOKUP(E132,Rep_Targets!$A$2:$D$9,4,FALSE),0)</f>
        <v/>
      </c>
      <c r="G132">
        <f>IF(F132=0,"NO QUOTA FOUND",IF(C132&gt;=F132*0.25,"On Track","Behind"))</f>
        <v/>
      </c>
      <c r="H132">
        <f>C132*IF(B132="West",0.95,1)</f>
        <v/>
      </c>
    </row>
    <row r="133">
      <c r="A133">
        <f>Raw_Bookings!A134</f>
        <v/>
      </c>
      <c r="B133">
        <f>IF(TRIM(LOWER(Raw_Bookings!D134))="east","East",IF(TRIM(LOWER(Raw_Bookings!D134))="west","West",IF(TRIM(LOWER(Raw_Bookings!D134))="central","Central",IF(TRIM(LOWER(Raw_Bookings!D134))="south","South","UNKNOWN"))))</f>
        <v/>
      </c>
      <c r="C133">
        <f>IFERROR(Raw_Bookings!H134*VLOOKUP(Raw_Bookings!I134,Rates!$A$2:$B$6,2,FALSE),Raw_Bookings!H134)</f>
        <v/>
      </c>
      <c r="D133">
        <f>IF(Raw_Bookings!F134="New License","NEW",IF(OR(Raw_Bookings!F134="Renewal",Raw_Bookings!F134="Support"),"RECURRING","OTHER"))</f>
        <v/>
      </c>
      <c r="E133">
        <f>IFERROR(VLOOKUP(Raw_Bookings!G134,Rep_Master!$A$2:$D$18,3,FALSE),"")</f>
        <v/>
      </c>
      <c r="F133">
        <f>IFERROR(VLOOKUP(E133,Rep_Targets!$A$2:$D$9,4,FALSE),0)</f>
        <v/>
      </c>
      <c r="G133">
        <f>IF(F133=0,"NO QUOTA FOUND",IF(C133&gt;=F133*0.25,"On Track","Behind"))</f>
        <v/>
      </c>
      <c r="H133">
        <f>C133*IF(B133="West",0.95,1)</f>
        <v/>
      </c>
    </row>
    <row r="134">
      <c r="A134">
        <f>Raw_Bookings!A135</f>
        <v/>
      </c>
      <c r="B134">
        <f>IF(TRIM(LOWER(Raw_Bookings!D135))="east","East",IF(TRIM(LOWER(Raw_Bookings!D135))="west","West",IF(TRIM(LOWER(Raw_Bookings!D135))="central","Central",IF(TRIM(LOWER(Raw_Bookings!D135))="south","South","UNKNOWN"))))</f>
        <v/>
      </c>
      <c r="C134">
        <f>IFERROR(Raw_Bookings!H135*VLOOKUP(Raw_Bookings!I135,Rates!$A$2:$B$6,2,FALSE),Raw_Bookings!H135)</f>
        <v/>
      </c>
      <c r="D134">
        <f>IF(Raw_Bookings!F135="New License","NEW",IF(OR(Raw_Bookings!F135="Renewal",Raw_Bookings!F135="Support"),"RECURRING","OTHER"))</f>
        <v/>
      </c>
      <c r="E134">
        <f>IFERROR(VLOOKUP(Raw_Bookings!G135,Rep_Master!$A$2:$D$18,3,FALSE),"")</f>
        <v/>
      </c>
      <c r="F134">
        <f>IFERROR(VLOOKUP(E134,Rep_Targets!$A$2:$D$9,4,FALSE),0)</f>
        <v/>
      </c>
      <c r="G134">
        <f>IF(F134=0,"NO QUOTA FOUND",IF(C134&gt;=F134*0.25,"On Track","Behind"))</f>
        <v/>
      </c>
      <c r="H134">
        <f>C134*IF(B134="West",0.95,1)</f>
        <v/>
      </c>
    </row>
    <row r="135">
      <c r="A135">
        <f>Raw_Bookings!A136</f>
        <v/>
      </c>
      <c r="B135">
        <f>IF(TRIM(LOWER(Raw_Bookings!D136))="east","East",IF(TRIM(LOWER(Raw_Bookings!D136))="west","West",IF(TRIM(LOWER(Raw_Bookings!D136))="central","Central",IF(TRIM(LOWER(Raw_Bookings!D136))="south","South","UNKNOWN"))))</f>
        <v/>
      </c>
      <c r="C135">
        <f>IFERROR(Raw_Bookings!H136*VLOOKUP(Raw_Bookings!I136,Rates!$A$2:$B$6,2,FALSE),Raw_Bookings!H136)</f>
        <v/>
      </c>
      <c r="D135">
        <f>IF(Raw_Bookings!F136="New License","NEW",IF(OR(Raw_Bookings!F136="Renewal",Raw_Bookings!F136="Support"),"RECURRING","OTHER"))</f>
        <v/>
      </c>
      <c r="E135">
        <f>IFERROR(VLOOKUP(Raw_Bookings!G136,Rep_Master!$A$2:$D$18,3,FALSE),"")</f>
        <v/>
      </c>
      <c r="F135">
        <f>IFERROR(VLOOKUP(E135,Rep_Targets!$A$2:$D$9,4,FALSE),0)</f>
        <v/>
      </c>
      <c r="G135">
        <f>IF(F135=0,"NO QUOTA FOUND",IF(C135&gt;=F135*0.25,"On Track","Behind"))</f>
        <v/>
      </c>
      <c r="H135">
        <f>C135*IF(B135="West",0.95,1)</f>
        <v/>
      </c>
    </row>
    <row r="136">
      <c r="A136">
        <f>Raw_Bookings!A137</f>
        <v/>
      </c>
      <c r="B136">
        <f>IF(TRIM(LOWER(Raw_Bookings!D137))="east","East",IF(TRIM(LOWER(Raw_Bookings!D137))="west","West",IF(TRIM(LOWER(Raw_Bookings!D137))="central","Central",IF(TRIM(LOWER(Raw_Bookings!D137))="south","South","UNKNOWN"))))</f>
        <v/>
      </c>
      <c r="C136">
        <f>IFERROR(Raw_Bookings!H137*VLOOKUP(Raw_Bookings!I137,Rates!$A$2:$B$6,2,FALSE),Raw_Bookings!H137)</f>
        <v/>
      </c>
      <c r="D136">
        <f>IF(Raw_Bookings!F137="New License","NEW",IF(OR(Raw_Bookings!F137="Renewal",Raw_Bookings!F137="Support"),"RECURRING","OTHER"))</f>
        <v/>
      </c>
      <c r="E136">
        <f>IFERROR(VLOOKUP(Raw_Bookings!G137,Rep_Master!$A$2:$D$18,3,FALSE),"")</f>
        <v/>
      </c>
      <c r="F136">
        <f>IFERROR(VLOOKUP(E136,Rep_Targets!$A$2:$D$9,4,FALSE),0)</f>
        <v/>
      </c>
      <c r="G136">
        <f>IF(F136=0,"NO QUOTA FOUND",IF(C136&gt;=F136*0.25,"On Track","Behind"))</f>
        <v/>
      </c>
      <c r="H136">
        <f>C136*IF(B136="West",0.95,1)</f>
        <v/>
      </c>
    </row>
    <row r="137">
      <c r="A137">
        <f>Raw_Bookings!A138</f>
        <v/>
      </c>
      <c r="B137">
        <f>IF(TRIM(LOWER(Raw_Bookings!D138))="east","East",IF(TRIM(LOWER(Raw_Bookings!D138))="west","West",IF(TRIM(LOWER(Raw_Bookings!D138))="central","Central",IF(TRIM(LOWER(Raw_Bookings!D138))="south","South","UNKNOWN"))))</f>
        <v/>
      </c>
      <c r="C137">
        <f>IFERROR(Raw_Bookings!H138*VLOOKUP(Raw_Bookings!I138,Rates!$A$2:$B$6,2,FALSE),Raw_Bookings!H138)</f>
        <v/>
      </c>
      <c r="D137">
        <f>IF(Raw_Bookings!F138="New License","NEW",IF(OR(Raw_Bookings!F138="Renewal",Raw_Bookings!F138="Support"),"RECURRING","OTHER"))</f>
        <v/>
      </c>
      <c r="E137">
        <f>IFERROR(VLOOKUP(Raw_Bookings!G138,Rep_Master!$A$2:$D$18,3,FALSE),"")</f>
        <v/>
      </c>
      <c r="F137">
        <f>IFERROR(VLOOKUP(E137,Rep_Targets!$A$2:$D$9,4,FALSE),0)</f>
        <v/>
      </c>
      <c r="G137">
        <f>IF(F137=0,"NO QUOTA FOUND",IF(C137&gt;=F137*0.25,"On Track","Behind"))</f>
        <v/>
      </c>
      <c r="H137">
        <f>C137*IF(B137="West",0.95,1)</f>
        <v/>
      </c>
    </row>
    <row r="138">
      <c r="A138">
        <f>Raw_Bookings!A139</f>
        <v/>
      </c>
      <c r="B138">
        <f>IF(TRIM(LOWER(Raw_Bookings!D139))="east","East",IF(TRIM(LOWER(Raw_Bookings!D139))="west","West",IF(TRIM(LOWER(Raw_Bookings!D139))="central","Central",IF(TRIM(LOWER(Raw_Bookings!D139))="south","South","UNKNOWN"))))</f>
        <v/>
      </c>
      <c r="C138">
        <f>IFERROR(Raw_Bookings!H139*VLOOKUP(Raw_Bookings!I139,Rates!$A$2:$B$6,2,FALSE),Raw_Bookings!H139)</f>
        <v/>
      </c>
      <c r="D138">
        <f>IF(Raw_Bookings!F139="New License","NEW",IF(OR(Raw_Bookings!F139="Renewal",Raw_Bookings!F139="Support"),"RECURRING","OTHER"))</f>
        <v/>
      </c>
      <c r="E138">
        <f>IFERROR(VLOOKUP(Raw_Bookings!G139,Rep_Master!$A$2:$D$18,3,FALSE),"")</f>
        <v/>
      </c>
      <c r="F138">
        <f>IFERROR(VLOOKUP(E138,Rep_Targets!$A$2:$D$9,4,FALSE),0)</f>
        <v/>
      </c>
      <c r="G138">
        <f>IF(F138=0,"NO QUOTA FOUND",IF(C138&gt;=F138*0.25,"On Track","Behind"))</f>
        <v/>
      </c>
      <c r="H138">
        <f>C138*IF(B138="West",0.95,1)</f>
        <v/>
      </c>
    </row>
    <row r="139">
      <c r="A139">
        <f>Raw_Bookings!A140</f>
        <v/>
      </c>
      <c r="B139">
        <f>IF(TRIM(LOWER(Raw_Bookings!D140))="east","East",IF(TRIM(LOWER(Raw_Bookings!D140))="west","West",IF(TRIM(LOWER(Raw_Bookings!D140))="central","Central",IF(TRIM(LOWER(Raw_Bookings!D140))="south","South","UNKNOWN"))))</f>
        <v/>
      </c>
      <c r="C139">
        <f>IFERROR(Raw_Bookings!H140*VLOOKUP(Raw_Bookings!I140,Rates!$A$2:$B$6,2,FALSE),Raw_Bookings!H140)</f>
        <v/>
      </c>
      <c r="D139">
        <f>IF(Raw_Bookings!F140="New License","NEW",IF(OR(Raw_Bookings!F140="Renewal",Raw_Bookings!F140="Support"),"RECURRING","OTHER"))</f>
        <v/>
      </c>
      <c r="E139">
        <f>IFERROR(VLOOKUP(Raw_Bookings!G140,Rep_Master!$A$2:$D$18,3,FALSE),"")</f>
        <v/>
      </c>
      <c r="F139">
        <f>IFERROR(VLOOKUP(E139,Rep_Targets!$A$2:$D$9,4,FALSE),0)</f>
        <v/>
      </c>
      <c r="G139">
        <f>IF(F139=0,"NO QUOTA FOUND",IF(C139&gt;=F139*0.25,"On Track","Behind"))</f>
        <v/>
      </c>
      <c r="H139">
        <f>C139*IF(B139="West",0.95,1)</f>
        <v/>
      </c>
    </row>
    <row r="140">
      <c r="A140">
        <f>Raw_Bookings!A141</f>
        <v/>
      </c>
      <c r="B140">
        <f>IF(TRIM(LOWER(Raw_Bookings!D141))="east","East",IF(TRIM(LOWER(Raw_Bookings!D141))="west","West",IF(TRIM(LOWER(Raw_Bookings!D141))="central","Central",IF(TRIM(LOWER(Raw_Bookings!D141))="south","South","UNKNOWN"))))</f>
        <v/>
      </c>
      <c r="C140">
        <f>IFERROR(Raw_Bookings!H141*VLOOKUP(Raw_Bookings!I141,Rates!$A$2:$B$6,2,FALSE),Raw_Bookings!H141)</f>
        <v/>
      </c>
      <c r="D140">
        <f>IF(Raw_Bookings!F141="New License","NEW",IF(OR(Raw_Bookings!F141="Renewal",Raw_Bookings!F141="Support"),"RECURRING","OTHER"))</f>
        <v/>
      </c>
      <c r="E140">
        <f>IFERROR(VLOOKUP(Raw_Bookings!G141,Rep_Master!$A$2:$D$18,3,FALSE),"")</f>
        <v/>
      </c>
      <c r="F140">
        <f>IFERROR(VLOOKUP(E140,Rep_Targets!$A$2:$D$9,4,FALSE),0)</f>
        <v/>
      </c>
      <c r="G140">
        <f>IF(F140=0,"NO QUOTA FOUND",IF(C140&gt;=F140*0.25,"On Track","Behind"))</f>
        <v/>
      </c>
      <c r="H140">
        <f>C140*IF(B140="West",0.95,1)</f>
        <v/>
      </c>
    </row>
    <row r="141">
      <c r="A141">
        <f>Raw_Bookings!A142</f>
        <v/>
      </c>
      <c r="B141">
        <f>IF(TRIM(LOWER(Raw_Bookings!D142))="east","East",IF(TRIM(LOWER(Raw_Bookings!D142))="west","West",IF(TRIM(LOWER(Raw_Bookings!D142))="central","Central",IF(TRIM(LOWER(Raw_Bookings!D142))="south","South","UNKNOWN"))))</f>
        <v/>
      </c>
      <c r="C141">
        <f>IFERROR(Raw_Bookings!H142*VLOOKUP(Raw_Bookings!I142,Rates!$A$2:$B$6,2,FALSE),Raw_Bookings!H142)</f>
        <v/>
      </c>
      <c r="D141">
        <f>IF(Raw_Bookings!F142="New License","NEW",IF(OR(Raw_Bookings!F142="Renewal",Raw_Bookings!F142="Support"),"RECURRING","OTHER"))</f>
        <v/>
      </c>
      <c r="E141">
        <f>IFERROR(VLOOKUP(Raw_Bookings!G142,Rep_Master!$A$2:$D$18,3,FALSE),"")</f>
        <v/>
      </c>
      <c r="F141">
        <f>IFERROR(VLOOKUP(E141,Rep_Targets!$A$2:$D$9,4,FALSE),0)</f>
        <v/>
      </c>
      <c r="G141">
        <f>IF(F141=0,"NO QUOTA FOUND",IF(C141&gt;=F141*0.25,"On Track","Behind"))</f>
        <v/>
      </c>
      <c r="H141">
        <f>C141*IF(B141="West",0.95,1)</f>
        <v/>
      </c>
    </row>
    <row r="142">
      <c r="A142">
        <f>Raw_Bookings!A143</f>
        <v/>
      </c>
      <c r="B142">
        <f>IF(TRIM(LOWER(Raw_Bookings!D143))="east","East",IF(TRIM(LOWER(Raw_Bookings!D143))="west","West",IF(TRIM(LOWER(Raw_Bookings!D143))="central","Central",IF(TRIM(LOWER(Raw_Bookings!D143))="south","South","UNKNOWN"))))</f>
        <v/>
      </c>
      <c r="C142">
        <f>IFERROR(Raw_Bookings!H143*VLOOKUP(Raw_Bookings!I143,Rates!$A$2:$B$6,2,FALSE),Raw_Bookings!H143)</f>
        <v/>
      </c>
      <c r="D142">
        <f>IF(Raw_Bookings!F143="New License","NEW",IF(OR(Raw_Bookings!F143="Renewal",Raw_Bookings!F143="Support"),"RECURRING","OTHER"))</f>
        <v/>
      </c>
      <c r="E142">
        <f>IFERROR(VLOOKUP(Raw_Bookings!G143,Rep_Master!$A$2:$D$18,3,FALSE),"")</f>
        <v/>
      </c>
      <c r="F142">
        <f>IFERROR(VLOOKUP(E142,Rep_Targets!$A$2:$D$9,4,FALSE),0)</f>
        <v/>
      </c>
      <c r="G142">
        <f>IF(F142=0,"NO QUOTA FOUND",IF(C142&gt;=F142*0.25,"On Track","Behind"))</f>
        <v/>
      </c>
      <c r="H142">
        <f>C142*IF(B142="West",0.95,1)</f>
        <v/>
      </c>
    </row>
    <row r="143">
      <c r="A143">
        <f>Raw_Bookings!A144</f>
        <v/>
      </c>
      <c r="B143">
        <f>IF(TRIM(LOWER(Raw_Bookings!D144))="east","East",IF(TRIM(LOWER(Raw_Bookings!D144))="west","West",IF(TRIM(LOWER(Raw_Bookings!D144))="central","Central",IF(TRIM(LOWER(Raw_Bookings!D144))="south","South","UNKNOWN"))))</f>
        <v/>
      </c>
      <c r="C143">
        <f>IFERROR(Raw_Bookings!H144*VLOOKUP(Raw_Bookings!I144,Rates!$A$2:$B$6,2,FALSE),Raw_Bookings!H144)</f>
        <v/>
      </c>
      <c r="D143">
        <f>IF(Raw_Bookings!F144="New License","NEW",IF(OR(Raw_Bookings!F144="Renewal",Raw_Bookings!F144="Support"),"RECURRING","OTHER"))</f>
        <v/>
      </c>
      <c r="E143">
        <f>IFERROR(VLOOKUP(Raw_Bookings!G144,Rep_Master!$A$2:$D$18,3,FALSE),"")</f>
        <v/>
      </c>
      <c r="F143">
        <f>IFERROR(VLOOKUP(E143,Rep_Targets!$A$2:$D$9,4,FALSE),0)</f>
        <v/>
      </c>
      <c r="G143">
        <f>IF(F143=0,"NO QUOTA FOUND",IF(C143&gt;=F143*0.25,"On Track","Behind"))</f>
        <v/>
      </c>
      <c r="H143">
        <f>C143*IF(B143="West",0.95,1)</f>
        <v/>
      </c>
    </row>
    <row r="144">
      <c r="A144">
        <f>Raw_Bookings!A145</f>
        <v/>
      </c>
      <c r="B144">
        <f>IF(TRIM(LOWER(Raw_Bookings!D145))="east","East",IF(TRIM(LOWER(Raw_Bookings!D145))="west","West",IF(TRIM(LOWER(Raw_Bookings!D145))="central","Central",IF(TRIM(LOWER(Raw_Bookings!D145))="south","South","UNKNOWN"))))</f>
        <v/>
      </c>
      <c r="C144">
        <f>IFERROR(Raw_Bookings!H145*VLOOKUP(Raw_Bookings!I145,Rates!$A$2:$B$6,2,FALSE),Raw_Bookings!H145)</f>
        <v/>
      </c>
      <c r="D144">
        <f>IF(Raw_Bookings!F145="New License","NEW",IF(OR(Raw_Bookings!F145="Renewal",Raw_Bookings!F145="Support"),"RECURRING","OTHER"))</f>
        <v/>
      </c>
      <c r="E144">
        <f>IFERROR(VLOOKUP(Raw_Bookings!G145,Rep_Master!$A$2:$D$18,3,FALSE),"")</f>
        <v/>
      </c>
      <c r="F144">
        <f>IFERROR(VLOOKUP(E144,Rep_Targets!$A$2:$D$9,4,FALSE),0)</f>
        <v/>
      </c>
      <c r="G144">
        <f>IF(F144=0,"NO QUOTA FOUND",IF(C144&gt;=F144*0.25,"On Track","Behind"))</f>
        <v/>
      </c>
      <c r="H144">
        <f>C144*IF(B144="West",0.95,1)</f>
        <v/>
      </c>
    </row>
    <row r="145">
      <c r="A145">
        <f>Raw_Bookings!A146</f>
        <v/>
      </c>
      <c r="B145">
        <f>IF(TRIM(LOWER(Raw_Bookings!D146))="east","East",IF(TRIM(LOWER(Raw_Bookings!D146))="west","West",IF(TRIM(LOWER(Raw_Bookings!D146))="central","Central",IF(TRIM(LOWER(Raw_Bookings!D146))="south","South","UNKNOWN"))))</f>
        <v/>
      </c>
      <c r="C145">
        <f>IFERROR(Raw_Bookings!H146*VLOOKUP(Raw_Bookings!I146,Rates!$A$2:$B$6,2,FALSE),Raw_Bookings!H146)</f>
        <v/>
      </c>
      <c r="D145">
        <f>IF(Raw_Bookings!F146="New License","NEW",IF(OR(Raw_Bookings!F146="Renewal",Raw_Bookings!F146="Support"),"RECURRING","OTHER"))</f>
        <v/>
      </c>
      <c r="E145">
        <f>IFERROR(VLOOKUP(Raw_Bookings!G146,Rep_Master!$A$2:$D$18,3,FALSE),"")</f>
        <v/>
      </c>
      <c r="F145">
        <f>IFERROR(VLOOKUP(E145,Rep_Targets!$A$2:$D$9,4,FALSE),0)</f>
        <v/>
      </c>
      <c r="G145">
        <f>IF(F145=0,"NO QUOTA FOUND",IF(C145&gt;=F145*0.25,"On Track","Behind"))</f>
        <v/>
      </c>
      <c r="H145">
        <f>C145*IF(B145="West",0.95,1)</f>
        <v/>
      </c>
    </row>
    <row r="146">
      <c r="A146">
        <f>Raw_Bookings!A147</f>
        <v/>
      </c>
      <c r="B146">
        <f>IF(TRIM(LOWER(Raw_Bookings!D147))="east","East",IF(TRIM(LOWER(Raw_Bookings!D147))="west","West",IF(TRIM(LOWER(Raw_Bookings!D147))="central","Central",IF(TRIM(LOWER(Raw_Bookings!D147))="south","South","UNKNOWN"))))</f>
        <v/>
      </c>
      <c r="C146">
        <f>IFERROR(Raw_Bookings!H147*VLOOKUP(Raw_Bookings!I147,Rates!$A$2:$B$6,2,FALSE),Raw_Bookings!H147)</f>
        <v/>
      </c>
      <c r="D146">
        <f>IF(Raw_Bookings!F147="New License","NEW",IF(OR(Raw_Bookings!F147="Renewal",Raw_Bookings!F147="Support"),"RECURRING","OTHER"))</f>
        <v/>
      </c>
      <c r="E146">
        <f>IFERROR(VLOOKUP(Raw_Bookings!G147,Rep_Master!$A$2:$D$18,3,FALSE),"")</f>
        <v/>
      </c>
      <c r="F146">
        <f>IFERROR(VLOOKUP(E146,Rep_Targets!$A$2:$D$9,4,FALSE),0)</f>
        <v/>
      </c>
      <c r="G146">
        <f>IF(F146=0,"NO QUOTA FOUND",IF(C146&gt;=F146*0.25,"On Track","Behind"))</f>
        <v/>
      </c>
      <c r="H146">
        <f>C146*IF(B146="West",0.95,1)</f>
        <v/>
      </c>
    </row>
    <row r="147">
      <c r="A147">
        <f>Raw_Bookings!A148</f>
        <v/>
      </c>
      <c r="B147">
        <f>IF(TRIM(LOWER(Raw_Bookings!D148))="east","East",IF(TRIM(LOWER(Raw_Bookings!D148))="west","West",IF(TRIM(LOWER(Raw_Bookings!D148))="central","Central",IF(TRIM(LOWER(Raw_Bookings!D148))="south","South","UNKNOWN"))))</f>
        <v/>
      </c>
      <c r="C147">
        <f>IFERROR(Raw_Bookings!H148*VLOOKUP(Raw_Bookings!I148,Rates!$A$2:$B$6,2,FALSE),Raw_Bookings!H148)</f>
        <v/>
      </c>
      <c r="D147">
        <f>IF(Raw_Bookings!F148="New License","NEW",IF(OR(Raw_Bookings!F148="Renewal",Raw_Bookings!F148="Support"),"RECURRING","OTHER"))</f>
        <v/>
      </c>
      <c r="E147">
        <f>IFERROR(VLOOKUP(Raw_Bookings!G148,Rep_Master!$A$2:$D$18,3,FALSE),"")</f>
        <v/>
      </c>
      <c r="F147">
        <f>IFERROR(VLOOKUP(E147,Rep_Targets!$A$2:$D$9,4,FALSE),0)</f>
        <v/>
      </c>
      <c r="G147">
        <f>IF(F147=0,"NO QUOTA FOUND",IF(C147&gt;=F147*0.25,"On Track","Behind"))</f>
        <v/>
      </c>
      <c r="H147" t="n">
        <v>5464.9</v>
      </c>
      <c r="I147" t="inlineStr">
        <is>
          <t>ADJ146</t>
        </is>
      </c>
      <c r="J147" t="inlineStr">
        <is>
          <t>mgr adj - see email 3/12</t>
        </is>
      </c>
    </row>
    <row r="148">
      <c r="A148">
        <f>Raw_Bookings!A149</f>
        <v/>
      </c>
      <c r="B148">
        <f>IF(TRIM(LOWER(Raw_Bookings!D149))="east","East",IF(TRIM(LOWER(Raw_Bookings!D149))="west","West",IF(TRIM(LOWER(Raw_Bookings!D149))="central","Central",IF(TRIM(LOWER(Raw_Bookings!D149))="south","South","UNKNOWN"))))</f>
        <v/>
      </c>
      <c r="C148">
        <f>IFERROR(Raw_Bookings!H149*VLOOKUP(Raw_Bookings!I149,Rates!$A$2:$B$6,2,FALSE),Raw_Bookings!H149)</f>
        <v/>
      </c>
      <c r="D148">
        <f>IF(Raw_Bookings!F149="New License","NEW",IF(OR(Raw_Bookings!F149="Renewal",Raw_Bookings!F149="Support"),"RECURRING","OTHER"))</f>
        <v/>
      </c>
      <c r="E148">
        <f>IFERROR(VLOOKUP(Raw_Bookings!G149,Rep_Master!$A$2:$D$18,3,FALSE),"")</f>
        <v/>
      </c>
      <c r="F148">
        <f>IFERROR(VLOOKUP(E148,Rep_Targets!$A$2:$D$9,4,FALSE),0)</f>
        <v/>
      </c>
      <c r="G148">
        <f>IF(F148=0,"NO QUOTA FOUND",IF(C148&gt;=F148*0.25,"On Track","Behind"))</f>
        <v/>
      </c>
      <c r="H148">
        <f>C148*IF(B148="West",0.95,1)</f>
        <v/>
      </c>
    </row>
    <row r="149">
      <c r="A149">
        <f>Raw_Bookings!A150</f>
        <v/>
      </c>
      <c r="B149">
        <f>IF(TRIM(LOWER(Raw_Bookings!D150))="east","East",IF(TRIM(LOWER(Raw_Bookings!D150))="west","West",IF(TRIM(LOWER(Raw_Bookings!D150))="central","Central",IF(TRIM(LOWER(Raw_Bookings!D150))="south","South","UNKNOWN"))))</f>
        <v/>
      </c>
      <c r="C149">
        <f>IFERROR(Raw_Bookings!H150*VLOOKUP(Raw_Bookings!I150,Rates!$A$2:$B$6,2,FALSE),Raw_Bookings!H150)</f>
        <v/>
      </c>
      <c r="D149">
        <f>IF(Raw_Bookings!F150="New License","NEW",IF(OR(Raw_Bookings!F150="Renewal",Raw_Bookings!F150="Support"),"RECURRING","OTHER"))</f>
        <v/>
      </c>
      <c r="E149">
        <f>IFERROR(VLOOKUP(Raw_Bookings!G150,Rep_Master!$A$2:$D$18,3,FALSE),"")</f>
        <v/>
      </c>
      <c r="F149">
        <f>IFERROR(VLOOKUP(E149,Rep_Targets!$A$2:$D$9,4,FALSE),0)</f>
        <v/>
      </c>
      <c r="G149">
        <f>IF(F149=0,"NO QUOTA FOUND",IF(C149&gt;=F149*0.25,"On Track","Behind"))</f>
        <v/>
      </c>
      <c r="H149">
        <f>C149*IF(B149="West",0.95,1)</f>
        <v/>
      </c>
    </row>
    <row r="150">
      <c r="A150">
        <f>Raw_Bookings!A151</f>
        <v/>
      </c>
      <c r="B150">
        <f>IF(TRIM(LOWER(Raw_Bookings!D151))="east","East",IF(TRIM(LOWER(Raw_Bookings!D151))="west","West",IF(TRIM(LOWER(Raw_Bookings!D151))="central","Central",IF(TRIM(LOWER(Raw_Bookings!D151))="south","South","UNKNOWN"))))</f>
        <v/>
      </c>
      <c r="C150">
        <f>IFERROR(Raw_Bookings!H151*VLOOKUP(Raw_Bookings!I151,Rates!$A$2:$B$6,2,FALSE),Raw_Bookings!H151)</f>
        <v/>
      </c>
      <c r="D150">
        <f>IF(Raw_Bookings!F151="New License","NEW",IF(OR(Raw_Bookings!F151="Renewal",Raw_Bookings!F151="Support"),"RECURRING","OTHER"))</f>
        <v/>
      </c>
      <c r="E150">
        <f>IFERROR(VLOOKUP(Raw_Bookings!G151,Rep_Master!$A$2:$D$18,3,FALSE),"")</f>
        <v/>
      </c>
      <c r="F150">
        <f>IFERROR(VLOOKUP(E150,Rep_Targets!$A$2:$D$9,4,FALSE),0)</f>
        <v/>
      </c>
      <c r="G150">
        <f>IF(F150=0,"NO QUOTA FOUND",IF(C150&gt;=F150*0.25,"On Track","Behind"))</f>
        <v/>
      </c>
      <c r="H150">
        <f>C150*IF(B150="West",0.95,1)</f>
        <v/>
      </c>
    </row>
    <row r="151">
      <c r="A151">
        <f>Raw_Bookings!A152</f>
        <v/>
      </c>
      <c r="B151">
        <f>IF(TRIM(LOWER(Raw_Bookings!D152))="east","East",IF(TRIM(LOWER(Raw_Bookings!D152))="west","West",IF(TRIM(LOWER(Raw_Bookings!D152))="central","Central",IF(TRIM(LOWER(Raw_Bookings!D152))="south","South","UNKNOWN"))))</f>
        <v/>
      </c>
      <c r="C151">
        <f>IFERROR(Raw_Bookings!H152*VLOOKUP(Raw_Bookings!I152,Rates!$A$2:$B$6,2,FALSE),Raw_Bookings!H152)</f>
        <v/>
      </c>
      <c r="D151">
        <f>IF(Raw_Bookings!F152="New License","NEW",IF(OR(Raw_Bookings!F152="Renewal",Raw_Bookings!F152="Support"),"RECURRING","OTHER"))</f>
        <v/>
      </c>
      <c r="E151">
        <f>IFERROR(VLOOKUP(Raw_Bookings!G152,Rep_Master!$A$2:$D$18,3,FALSE),"")</f>
        <v/>
      </c>
      <c r="F151">
        <f>IFERROR(VLOOKUP(E151,Rep_Targets!$A$2:$D$9,4,FALSE),0)</f>
        <v/>
      </c>
      <c r="G151">
        <f>IF(F151=0,"NO QUOTA FOUND",IF(C151&gt;=F151*0.25,"On Track","Behind"))</f>
        <v/>
      </c>
      <c r="H151">
        <f>C151*IF(B151="West",0.95,1)</f>
        <v/>
      </c>
    </row>
    <row r="152">
      <c r="A152">
        <f>Raw_Bookings!A153</f>
        <v/>
      </c>
      <c r="B152">
        <f>IF(TRIM(LOWER(Raw_Bookings!D153))="east","East",IF(TRIM(LOWER(Raw_Bookings!D153))="west","West",IF(TRIM(LOWER(Raw_Bookings!D153))="central","Central",IF(TRIM(LOWER(Raw_Bookings!D153))="south","South","UNKNOWN"))))</f>
        <v/>
      </c>
      <c r="C152">
        <f>IFERROR(Raw_Bookings!H153*VLOOKUP(Raw_Bookings!I153,Rates!$A$2:$B$6,2,FALSE),Raw_Bookings!H153)</f>
        <v/>
      </c>
      <c r="D152">
        <f>IF(Raw_Bookings!F153="New License","NEW",IF(OR(Raw_Bookings!F153="Renewal",Raw_Bookings!F153="Support"),"RECURRING","OTHER"))</f>
        <v/>
      </c>
      <c r="E152">
        <f>IFERROR(VLOOKUP(Raw_Bookings!G153,Rep_Master!$A$2:$D$18,3,FALSE),"")</f>
        <v/>
      </c>
      <c r="F152">
        <f>IFERROR(VLOOKUP(E152,Rep_Targets!$A$2:$D$9,4,FALSE),0)</f>
        <v/>
      </c>
      <c r="G152">
        <f>IF(F152=0,"NO QUOTA FOUND",IF(C152&gt;=F152*0.25,"On Track","Behind"))</f>
        <v/>
      </c>
      <c r="H152">
        <f>C152*IF(B152="West",0.95,1)</f>
        <v/>
      </c>
    </row>
    <row r="153">
      <c r="A153">
        <f>Raw_Bookings!A154</f>
        <v/>
      </c>
      <c r="B153">
        <f>IF(TRIM(LOWER(Raw_Bookings!D154))="east","East",IF(TRIM(LOWER(Raw_Bookings!D154))="west","West",IF(TRIM(LOWER(Raw_Bookings!D154))="central","Central",IF(TRIM(LOWER(Raw_Bookings!D154))="south","South","UNKNOWN"))))</f>
        <v/>
      </c>
      <c r="C153">
        <f>IFERROR(Raw_Bookings!H154*VLOOKUP(Raw_Bookings!I154,Rates!$A$2:$B$6,2,FALSE),Raw_Bookings!H154)</f>
        <v/>
      </c>
      <c r="D153">
        <f>IF(Raw_Bookings!F154="New License","NEW",IF(OR(Raw_Bookings!F154="Renewal",Raw_Bookings!F154="Support"),"RECURRING","OTHER"))</f>
        <v/>
      </c>
      <c r="E153">
        <f>IFERROR(VLOOKUP(Raw_Bookings!G154,Rep_Master!$A$2:$D$18,3,FALSE),"")</f>
        <v/>
      </c>
      <c r="F153">
        <f>IFERROR(VLOOKUP(E153,Rep_Targets!$A$2:$D$9,4,FALSE),0)</f>
        <v/>
      </c>
      <c r="G153">
        <f>IF(F153=0,"NO QUOTA FOUND",IF(C153&gt;=F153*0.25,"On Track","Behind"))</f>
        <v/>
      </c>
      <c r="H153">
        <f>C153*IF(B153="West",0.95,1)</f>
        <v/>
      </c>
    </row>
    <row r="154">
      <c r="A154">
        <f>Raw_Bookings!A155</f>
        <v/>
      </c>
      <c r="B154">
        <f>IF(TRIM(LOWER(Raw_Bookings!D155))="east","East",IF(TRIM(LOWER(Raw_Bookings!D155))="west","West",IF(TRIM(LOWER(Raw_Bookings!D155))="central","Central",IF(TRIM(LOWER(Raw_Bookings!D155))="south","South","UNKNOWN"))))</f>
        <v/>
      </c>
      <c r="C154">
        <f>IFERROR(Raw_Bookings!H155*VLOOKUP(Raw_Bookings!I155,Rates!$A$2:$B$6,2,FALSE),Raw_Bookings!H155)</f>
        <v/>
      </c>
      <c r="D154">
        <f>IF(Raw_Bookings!F155="New License","NEW",IF(OR(Raw_Bookings!F155="Renewal",Raw_Bookings!F155="Support"),"RECURRING","OTHER"))</f>
        <v/>
      </c>
      <c r="E154">
        <f>IFERROR(VLOOKUP(Raw_Bookings!G155,Rep_Master!$A$2:$D$18,3,FALSE),"")</f>
        <v/>
      </c>
      <c r="F154">
        <f>IFERROR(VLOOKUP(E154,Rep_Targets!$A$2:$D$9,4,FALSE),0)</f>
        <v/>
      </c>
      <c r="G154">
        <f>IF(F154=0,"NO QUOTA FOUND",IF(C154&gt;=F154*0.25,"On Track","Behind"))</f>
        <v/>
      </c>
      <c r="H154">
        <f>C154*IF(B154="West",0.95,1)</f>
        <v/>
      </c>
    </row>
    <row r="155">
      <c r="A155">
        <f>Raw_Bookings!A156</f>
        <v/>
      </c>
      <c r="B155">
        <f>IF(TRIM(LOWER(Raw_Bookings!D156))="east","East",IF(TRIM(LOWER(Raw_Bookings!D156))="west","West",IF(TRIM(LOWER(Raw_Bookings!D156))="central","Central",IF(TRIM(LOWER(Raw_Bookings!D156))="south","South","UNKNOWN"))))</f>
        <v/>
      </c>
      <c r="C155">
        <f>IFERROR(Raw_Bookings!H156*VLOOKUP(Raw_Bookings!I156,Rates!$A$2:$B$6,2,FALSE),Raw_Bookings!H156)</f>
        <v/>
      </c>
      <c r="D155">
        <f>IF(Raw_Bookings!F156="New License","NEW",IF(OR(Raw_Bookings!F156="Renewal",Raw_Bookings!F156="Support"),"RECURRING","OTHER"))</f>
        <v/>
      </c>
      <c r="E155">
        <f>IFERROR(VLOOKUP(Raw_Bookings!G156,Rep_Master!$A$2:$D$18,3,FALSE),"")</f>
        <v/>
      </c>
      <c r="F155">
        <f>IFERROR(VLOOKUP(E155,Rep_Targets!$A$2:$D$9,4,FALSE),0)</f>
        <v/>
      </c>
      <c r="G155">
        <f>IF(F155=0,"NO QUOTA FOUND",IF(C155&gt;=F155*0.25,"On Track","Behind"))</f>
        <v/>
      </c>
      <c r="H155">
        <f>C155*IF(B155="West",0.95,1)</f>
        <v/>
      </c>
    </row>
    <row r="156">
      <c r="A156">
        <f>Raw_Bookings!A157</f>
        <v/>
      </c>
      <c r="B156">
        <f>IF(TRIM(LOWER(Raw_Bookings!D157))="east","East",IF(TRIM(LOWER(Raw_Bookings!D157))="west","West",IF(TRIM(LOWER(Raw_Bookings!D157))="central","Central",IF(TRIM(LOWER(Raw_Bookings!D157))="south","South","UNKNOWN"))))</f>
        <v/>
      </c>
      <c r="C156">
        <f>IFERROR(Raw_Bookings!H157*VLOOKUP(Raw_Bookings!I157,Rates!$A$2:$B$6,2,FALSE),Raw_Bookings!H157)</f>
        <v/>
      </c>
      <c r="D156">
        <f>IF(Raw_Bookings!F157="New License","NEW",IF(OR(Raw_Bookings!F157="Renewal",Raw_Bookings!F157="Support"),"RECURRING","OTHER"))</f>
        <v/>
      </c>
      <c r="E156">
        <f>IFERROR(VLOOKUP(Raw_Bookings!G157,Rep_Master!$A$2:$D$18,3,FALSE),"")</f>
        <v/>
      </c>
      <c r="F156">
        <f>IFERROR(VLOOKUP(E156,Rep_Targets!$A$2:$D$9,4,FALSE),0)</f>
        <v/>
      </c>
      <c r="G156">
        <f>IF(F156=0,"NO QUOTA FOUND",IF(C156&gt;=F156*0.25,"On Track","Behind"))</f>
        <v/>
      </c>
      <c r="H156">
        <f>C156*IF(B156="West",0.95,1)</f>
        <v/>
      </c>
    </row>
    <row r="157">
      <c r="A157">
        <f>Raw_Bookings!A158</f>
        <v/>
      </c>
      <c r="B157">
        <f>IF(TRIM(LOWER(Raw_Bookings!D158))="east","East",IF(TRIM(LOWER(Raw_Bookings!D158))="west","West",IF(TRIM(LOWER(Raw_Bookings!D158))="central","Central",IF(TRIM(LOWER(Raw_Bookings!D158))="south","South","UNKNOWN"))))</f>
        <v/>
      </c>
      <c r="C157">
        <f>IFERROR(Raw_Bookings!H158*VLOOKUP(Raw_Bookings!I158,Rates!$A$2:$B$6,2,FALSE),Raw_Bookings!H158)</f>
        <v/>
      </c>
      <c r="D157">
        <f>IF(Raw_Bookings!F158="New License","NEW",IF(OR(Raw_Bookings!F158="Renewal",Raw_Bookings!F158="Support"),"RECURRING","OTHER"))</f>
        <v/>
      </c>
      <c r="E157">
        <f>IFERROR(VLOOKUP(Raw_Bookings!G158,Rep_Master!$A$2:$D$18,3,FALSE),"")</f>
        <v/>
      </c>
      <c r="F157">
        <f>IFERROR(VLOOKUP(E157,Rep_Targets!$A$2:$D$9,4,FALSE),0)</f>
        <v/>
      </c>
      <c r="G157">
        <f>IF(F157=0,"NO QUOTA FOUND",IF(C157&gt;=F157*0.25,"On Track","Behind"))</f>
        <v/>
      </c>
      <c r="H157">
        <f>C157*IF(B157="West",0.95,1)</f>
        <v/>
      </c>
    </row>
    <row r="158">
      <c r="A158">
        <f>Raw_Bookings!A159</f>
        <v/>
      </c>
      <c r="B158">
        <f>IF(TRIM(LOWER(Raw_Bookings!D159))="east","East",IF(TRIM(LOWER(Raw_Bookings!D159))="west","West",IF(TRIM(LOWER(Raw_Bookings!D159))="central","Central",IF(TRIM(LOWER(Raw_Bookings!D159))="south","South","UNKNOWN"))))</f>
        <v/>
      </c>
      <c r="C158">
        <f>IFERROR(Raw_Bookings!H159*VLOOKUP(Raw_Bookings!I159,Rates!$A$2:$B$6,2,FALSE),Raw_Bookings!H159)</f>
        <v/>
      </c>
      <c r="D158">
        <f>IF(Raw_Bookings!F159="New License","NEW",IF(OR(Raw_Bookings!F159="Renewal",Raw_Bookings!F159="Support"),"RECURRING","OTHER"))</f>
        <v/>
      </c>
      <c r="E158">
        <f>IFERROR(VLOOKUP(Raw_Bookings!G159,Rep_Master!$A$2:$D$18,3,FALSE),"")</f>
        <v/>
      </c>
      <c r="F158">
        <f>IFERROR(VLOOKUP(E158,Rep_Targets!$A$2:$D$9,4,FALSE),0)</f>
        <v/>
      </c>
      <c r="G158">
        <f>IF(F158=0,"NO QUOTA FOUND",IF(C158&gt;=F158*0.25,"On Track","Behind"))</f>
        <v/>
      </c>
      <c r="H158">
        <f>C158*IF(B158="West",0.95,1)</f>
        <v/>
      </c>
    </row>
    <row r="159">
      <c r="A159">
        <f>Raw_Bookings!A160</f>
        <v/>
      </c>
      <c r="B159">
        <f>IF(TRIM(LOWER(Raw_Bookings!D160))="east","East",IF(TRIM(LOWER(Raw_Bookings!D160))="west","West",IF(TRIM(LOWER(Raw_Bookings!D160))="central","Central",IF(TRIM(LOWER(Raw_Bookings!D160))="south","South","UNKNOWN"))))</f>
        <v/>
      </c>
      <c r="C159">
        <f>IFERROR(Raw_Bookings!H160*VLOOKUP(Raw_Bookings!I160,Rates!$A$2:$B$6,2,FALSE),Raw_Bookings!H160)</f>
        <v/>
      </c>
      <c r="D159">
        <f>IF(Raw_Bookings!F160="New License","NEW",IF(OR(Raw_Bookings!F160="Renewal",Raw_Bookings!F160="Support"),"RECURRING","OTHER"))</f>
        <v/>
      </c>
      <c r="E159">
        <f>IFERROR(VLOOKUP(Raw_Bookings!G160,Rep_Master!$A$2:$D$18,3,FALSE),"")</f>
        <v/>
      </c>
      <c r="F159">
        <f>IFERROR(VLOOKUP(E159,Rep_Targets!$A$2:$D$9,4,FALSE),0)</f>
        <v/>
      </c>
      <c r="G159">
        <f>IF(F159=0,"NO QUOTA FOUND",IF(C159&gt;=F159*0.25,"On Track","Behind"))</f>
        <v/>
      </c>
      <c r="H159">
        <f>C159*IF(B159="West",0.95,1)</f>
        <v/>
      </c>
    </row>
    <row r="160">
      <c r="A160">
        <f>Raw_Bookings!A161</f>
        <v/>
      </c>
      <c r="B160">
        <f>IF(TRIM(LOWER(Raw_Bookings!D161))="east","East",IF(TRIM(LOWER(Raw_Bookings!D161))="west","West",IF(TRIM(LOWER(Raw_Bookings!D161))="central","Central",IF(TRIM(LOWER(Raw_Bookings!D161))="south","South","UNKNOWN"))))</f>
        <v/>
      </c>
      <c r="C160">
        <f>IFERROR(Raw_Bookings!H161*VLOOKUP(Raw_Bookings!I161,Rates!$A$2:$B$6,2,FALSE),Raw_Bookings!H161)</f>
        <v/>
      </c>
      <c r="D160">
        <f>IF(Raw_Bookings!F161="New License","NEW",IF(OR(Raw_Bookings!F161="Renewal",Raw_Bookings!F161="Support"),"RECURRING","OTHER"))</f>
        <v/>
      </c>
      <c r="E160">
        <f>IFERROR(VLOOKUP(Raw_Bookings!G161,Rep_Master!$A$2:$D$18,3,FALSE),"")</f>
        <v/>
      </c>
      <c r="F160">
        <f>IFERROR(VLOOKUP(E160,Rep_Targets!$A$2:$D$9,4,FALSE),0)</f>
        <v/>
      </c>
      <c r="G160">
        <f>IF(F160=0,"NO QUOTA FOUND",IF(C160&gt;=F160*0.25,"On Track","Behind"))</f>
        <v/>
      </c>
      <c r="H160">
        <f>C160*IF(B160="West",0.95,1)</f>
        <v/>
      </c>
    </row>
    <row r="161">
      <c r="A161">
        <f>Raw_Bookings!A162</f>
        <v/>
      </c>
      <c r="B161">
        <f>IF(TRIM(LOWER(Raw_Bookings!D162))="east","East",IF(TRIM(LOWER(Raw_Bookings!D162))="west","West",IF(TRIM(LOWER(Raw_Bookings!D162))="central","Central",IF(TRIM(LOWER(Raw_Bookings!D162))="south","South","UNKNOWN"))))</f>
        <v/>
      </c>
      <c r="C161">
        <f>IFERROR(Raw_Bookings!H162*VLOOKUP(Raw_Bookings!I162,Rates!$A$2:$B$6,2,FALSE),Raw_Bookings!H162)</f>
        <v/>
      </c>
      <c r="D161">
        <f>IF(Raw_Bookings!F162="New License","NEW",IF(OR(Raw_Bookings!F162="Renewal",Raw_Bookings!F162="Support"),"RECURRING","OTHER"))</f>
        <v/>
      </c>
      <c r="E161">
        <f>IFERROR(VLOOKUP(Raw_Bookings!G162,Rep_Master!$A$2:$D$18,3,FALSE),"")</f>
        <v/>
      </c>
      <c r="F161">
        <f>IFERROR(VLOOKUP(E161,Rep_Targets!$A$2:$D$9,4,FALSE),0)</f>
        <v/>
      </c>
      <c r="G161">
        <f>IF(F161=0,"NO QUOTA FOUND",IF(C161&gt;=F161*0.25,"On Track","Behind"))</f>
        <v/>
      </c>
      <c r="H161">
        <f>C161*IF(B161="West",0.95,1)</f>
        <v/>
      </c>
    </row>
    <row r="162">
      <c r="A162">
        <f>Raw_Bookings!A163</f>
        <v/>
      </c>
      <c r="B162">
        <f>IF(TRIM(LOWER(Raw_Bookings!D163))="east","East",IF(TRIM(LOWER(Raw_Bookings!D163))="west","West",IF(TRIM(LOWER(Raw_Bookings!D163))="central","Central",IF(TRIM(LOWER(Raw_Bookings!D163))="south","South","UNKNOWN"))))</f>
        <v/>
      </c>
      <c r="C162">
        <f>IFERROR(Raw_Bookings!H163*VLOOKUP(Raw_Bookings!I163,Rates!$A$2:$B$6,2,FALSE),Raw_Bookings!H163)</f>
        <v/>
      </c>
      <c r="D162">
        <f>IF(Raw_Bookings!F163="New License","NEW",IF(OR(Raw_Bookings!F163="Renewal",Raw_Bookings!F163="Support"),"RECURRING","OTHER"))</f>
        <v/>
      </c>
      <c r="E162">
        <f>IFERROR(VLOOKUP(Raw_Bookings!G163,Rep_Master!$A$2:$D$18,3,FALSE),"")</f>
        <v/>
      </c>
      <c r="F162">
        <f>IFERROR(VLOOKUP(E162,Rep_Targets!$A$2:$D$9,4,FALSE),0)</f>
        <v/>
      </c>
      <c r="G162">
        <f>IF(F162=0,"NO QUOTA FOUND",IF(C162&gt;=F162*0.25,"On Track","Behind"))</f>
        <v/>
      </c>
      <c r="H162">
        <f>C162*IF(B162="West",0.95,1)</f>
        <v/>
      </c>
    </row>
    <row r="163">
      <c r="A163">
        <f>Raw_Bookings!A164</f>
        <v/>
      </c>
      <c r="B163">
        <f>IF(TRIM(LOWER(Raw_Bookings!D164))="east","East",IF(TRIM(LOWER(Raw_Bookings!D164))="west","West",IF(TRIM(LOWER(Raw_Bookings!D164))="central","Central",IF(TRIM(LOWER(Raw_Bookings!D164))="south","South","UNKNOWN"))))</f>
        <v/>
      </c>
      <c r="C163">
        <f>IFERROR(Raw_Bookings!H164*VLOOKUP(Raw_Bookings!I164,Rates!$A$2:$B$6,2,FALSE),Raw_Bookings!H164)</f>
        <v/>
      </c>
      <c r="D163">
        <f>IF(Raw_Bookings!F164="New License","NEW",IF(OR(Raw_Bookings!F164="Renewal",Raw_Bookings!F164="Support"),"RECURRING","OTHER"))</f>
        <v/>
      </c>
      <c r="E163">
        <f>IFERROR(VLOOKUP(Raw_Bookings!G164,Rep_Master!$A$2:$D$18,3,FALSE),"")</f>
        <v/>
      </c>
      <c r="F163">
        <f>IFERROR(VLOOKUP(E163,Rep_Targets!$A$2:$D$9,4,FALSE),0)</f>
        <v/>
      </c>
      <c r="G163">
        <f>IF(F163=0,"NO QUOTA FOUND",IF(C163&gt;=F163*0.25,"On Track","Behind"))</f>
        <v/>
      </c>
      <c r="H163">
        <f>C163*IF(B163="West",0.95,1)</f>
        <v/>
      </c>
    </row>
    <row r="164">
      <c r="A164">
        <f>Raw_Bookings!A165</f>
        <v/>
      </c>
      <c r="B164">
        <f>IF(TRIM(LOWER(Raw_Bookings!D165))="east","East",IF(TRIM(LOWER(Raw_Bookings!D165))="west","West",IF(TRIM(LOWER(Raw_Bookings!D165))="central","Central",IF(TRIM(LOWER(Raw_Bookings!D165))="south","South","UNKNOWN"))))</f>
        <v/>
      </c>
      <c r="C164">
        <f>IFERROR(Raw_Bookings!H165*VLOOKUP(Raw_Bookings!I165,Rates!$A$2:$B$6,2,FALSE),Raw_Bookings!H165)</f>
        <v/>
      </c>
      <c r="D164">
        <f>IF(Raw_Bookings!F165="New License","NEW",IF(OR(Raw_Bookings!F165="Renewal",Raw_Bookings!F165="Support"),"RECURRING","OTHER"))</f>
        <v/>
      </c>
      <c r="E164">
        <f>IFERROR(VLOOKUP(Raw_Bookings!G165,Rep_Master!$A$2:$D$18,3,FALSE),"")</f>
        <v/>
      </c>
      <c r="F164">
        <f>IFERROR(VLOOKUP(E164,Rep_Targets!$A$2:$D$9,4,FALSE),0)</f>
        <v/>
      </c>
      <c r="G164">
        <f>IF(F164=0,"NO QUOTA FOUND",IF(C164&gt;=F164*0.25,"On Track","Behind"))</f>
        <v/>
      </c>
      <c r="H164">
        <f>C164*IF(B164="West",0.95,1)</f>
        <v/>
      </c>
    </row>
    <row r="165">
      <c r="A165">
        <f>Raw_Bookings!A166</f>
        <v/>
      </c>
      <c r="B165">
        <f>IF(TRIM(LOWER(Raw_Bookings!D166))="east","East",IF(TRIM(LOWER(Raw_Bookings!D166))="west","West",IF(TRIM(LOWER(Raw_Bookings!D166))="central","Central",IF(TRIM(LOWER(Raw_Bookings!D166))="south","South","UNKNOWN"))))</f>
        <v/>
      </c>
      <c r="C165">
        <f>IFERROR(Raw_Bookings!H166*VLOOKUP(Raw_Bookings!I166,Rates!$A$2:$B$6,2,FALSE),Raw_Bookings!H166)</f>
        <v/>
      </c>
      <c r="D165">
        <f>IF(Raw_Bookings!F166="New License","NEW",IF(OR(Raw_Bookings!F166="Renewal",Raw_Bookings!F166="Support"),"RECURRING","OTHER"))</f>
        <v/>
      </c>
      <c r="E165">
        <f>IFERROR(VLOOKUP(Raw_Bookings!G166,Rep_Master!$A$2:$D$18,3,FALSE),"")</f>
        <v/>
      </c>
      <c r="F165">
        <f>IFERROR(VLOOKUP(E165,Rep_Targets!$A$2:$D$9,4,FALSE),0)</f>
        <v/>
      </c>
      <c r="G165">
        <f>IF(F165=0,"NO QUOTA FOUND",IF(C165&gt;=F165*0.25,"On Track","Behind"))</f>
        <v/>
      </c>
      <c r="H165">
        <f>C165*IF(B165="West",0.95,1)</f>
        <v/>
      </c>
    </row>
    <row r="166">
      <c r="A166">
        <f>Raw_Bookings!A167</f>
        <v/>
      </c>
      <c r="B166">
        <f>IF(TRIM(LOWER(Raw_Bookings!D167))="east","East",IF(TRIM(LOWER(Raw_Bookings!D167))="west","West",IF(TRIM(LOWER(Raw_Bookings!D167))="central","Central",IF(TRIM(LOWER(Raw_Bookings!D167))="south","South","UNKNOWN"))))</f>
        <v/>
      </c>
      <c r="C166">
        <f>IFERROR(Raw_Bookings!H167*VLOOKUP(Raw_Bookings!I167,Rates!$A$2:$B$6,2,FALSE),Raw_Bookings!H167)</f>
        <v/>
      </c>
      <c r="D166">
        <f>IF(Raw_Bookings!F167="New License","NEW",IF(OR(Raw_Bookings!F167="Renewal",Raw_Bookings!F167="Support"),"RECURRING","OTHER"))</f>
        <v/>
      </c>
      <c r="E166">
        <f>IFERROR(VLOOKUP(Raw_Bookings!G167,Rep_Master!$A$2:$D$18,3,FALSE),"")</f>
        <v/>
      </c>
      <c r="F166">
        <f>IFERROR(VLOOKUP(E166,Rep_Targets!$A$2:$D$9,4,FALSE),0)</f>
        <v/>
      </c>
      <c r="G166">
        <f>IF(F166=0,"NO QUOTA FOUND",IF(C166&gt;=F166*0.25,"On Track","Behind"))</f>
        <v/>
      </c>
      <c r="H166">
        <f>C166*IF(B166="West",0.95,1)</f>
        <v/>
      </c>
    </row>
    <row r="167">
      <c r="A167">
        <f>Raw_Bookings!A168</f>
        <v/>
      </c>
      <c r="B167">
        <f>IF(TRIM(LOWER(Raw_Bookings!D168))="east","East",IF(TRIM(LOWER(Raw_Bookings!D168))="west","West",IF(TRIM(LOWER(Raw_Bookings!D168))="central","Central",IF(TRIM(LOWER(Raw_Bookings!D168))="south","South","UNKNOWN"))))</f>
        <v/>
      </c>
      <c r="C167">
        <f>IFERROR(Raw_Bookings!H168*VLOOKUP(Raw_Bookings!I168,Rates!$A$2:$B$6,2,FALSE),Raw_Bookings!H168)</f>
        <v/>
      </c>
      <c r="D167">
        <f>IF(Raw_Bookings!F168="New License","NEW",IF(OR(Raw_Bookings!F168="Renewal",Raw_Bookings!F168="Support"),"RECURRING","OTHER"))</f>
        <v/>
      </c>
      <c r="E167">
        <f>IFERROR(VLOOKUP(Raw_Bookings!G168,Rep_Master!$A$2:$D$18,3,FALSE),"")</f>
        <v/>
      </c>
      <c r="F167">
        <f>IFERROR(VLOOKUP(E167,Rep_Targets!$A$2:$D$9,4,FALSE),0)</f>
        <v/>
      </c>
      <c r="G167">
        <f>IF(F167=0,"NO QUOTA FOUND",IF(C167&gt;=F167*0.25,"On Track","Behind"))</f>
        <v/>
      </c>
      <c r="H167">
        <f>C167*IF(B167="West",0.95,1)</f>
        <v/>
      </c>
    </row>
    <row r="168">
      <c r="A168">
        <f>Raw_Bookings!A169</f>
        <v/>
      </c>
      <c r="B168">
        <f>IF(TRIM(LOWER(Raw_Bookings!D169))="east","East",IF(TRIM(LOWER(Raw_Bookings!D169))="west","West",IF(TRIM(LOWER(Raw_Bookings!D169))="central","Central",IF(TRIM(LOWER(Raw_Bookings!D169))="south","South","UNKNOWN"))))</f>
        <v/>
      </c>
      <c r="C168">
        <f>IFERROR(Raw_Bookings!H169*VLOOKUP(Raw_Bookings!I169,Rates!$A$2:$B$6,2,FALSE),Raw_Bookings!H169)</f>
        <v/>
      </c>
      <c r="D168">
        <f>IF(Raw_Bookings!F169="New License","NEW",IF(OR(Raw_Bookings!F169="Renewal",Raw_Bookings!F169="Support"),"RECURRING","OTHER"))</f>
        <v/>
      </c>
      <c r="E168">
        <f>IFERROR(VLOOKUP(Raw_Bookings!G169,Rep_Master!$A$2:$D$18,3,FALSE),"")</f>
        <v/>
      </c>
      <c r="F168">
        <f>IFERROR(VLOOKUP(E168,Rep_Targets!$A$2:$D$9,4,FALSE),0)</f>
        <v/>
      </c>
      <c r="G168">
        <f>IF(F168=0,"NO QUOTA FOUND",IF(C168&gt;=F168*0.25,"On Track","Behind"))</f>
        <v/>
      </c>
      <c r="H168">
        <f>C168*IF(B168="West",0.95,1)</f>
        <v/>
      </c>
    </row>
    <row r="169">
      <c r="A169">
        <f>Raw_Bookings!A170</f>
        <v/>
      </c>
      <c r="B169">
        <f>IF(TRIM(LOWER(Raw_Bookings!D170))="east","East",IF(TRIM(LOWER(Raw_Bookings!D170))="west","West",IF(TRIM(LOWER(Raw_Bookings!D170))="central","Central",IF(TRIM(LOWER(Raw_Bookings!D170))="south","South","UNKNOWN"))))</f>
        <v/>
      </c>
      <c r="C169">
        <f>IFERROR(Raw_Bookings!H170*VLOOKUP(Raw_Bookings!I170,Rates!$A$2:$B$6,2,FALSE),Raw_Bookings!H170)</f>
        <v/>
      </c>
      <c r="D169">
        <f>IF(Raw_Bookings!F170="New License","NEW",IF(OR(Raw_Bookings!F170="Renewal",Raw_Bookings!F170="Support"),"RECURRING","OTHER"))</f>
        <v/>
      </c>
      <c r="E169">
        <f>IFERROR(VLOOKUP(Raw_Bookings!G170,Rep_Master!$A$2:$D$18,3,FALSE),"")</f>
        <v/>
      </c>
      <c r="F169">
        <f>IFERROR(VLOOKUP(E169,Rep_Targets!$A$2:$D$9,4,FALSE),0)</f>
        <v/>
      </c>
      <c r="G169">
        <f>IF(F169=0,"NO QUOTA FOUND",IF(C169&gt;=F169*0.25,"On Track","Behind"))</f>
        <v/>
      </c>
      <c r="H169">
        <f>C169*IF(B169="West",0.95,1)</f>
        <v/>
      </c>
    </row>
    <row r="170">
      <c r="A170">
        <f>Raw_Bookings!A171</f>
        <v/>
      </c>
      <c r="B170">
        <f>IF(TRIM(LOWER(Raw_Bookings!D171))="east","East",IF(TRIM(LOWER(Raw_Bookings!D171))="west","West",IF(TRIM(LOWER(Raw_Bookings!D171))="central","Central",IF(TRIM(LOWER(Raw_Bookings!D171))="south","South","UNKNOWN"))))</f>
        <v/>
      </c>
      <c r="C170">
        <f>IFERROR(Raw_Bookings!H171*VLOOKUP(Raw_Bookings!I171,Rates!$A$2:$B$6,2,FALSE),Raw_Bookings!H171)</f>
        <v/>
      </c>
      <c r="D170">
        <f>IF(Raw_Bookings!F171="New License","NEW",IF(OR(Raw_Bookings!F171="Renewal",Raw_Bookings!F171="Support"),"RECURRING","OTHER"))</f>
        <v/>
      </c>
      <c r="E170">
        <f>IFERROR(VLOOKUP(Raw_Bookings!G171,Rep_Master!$A$2:$D$18,3,FALSE),"")</f>
        <v/>
      </c>
      <c r="F170">
        <f>IFERROR(VLOOKUP(E170,Rep_Targets!$A$2:$D$9,4,FALSE),0)</f>
        <v/>
      </c>
      <c r="G170">
        <f>IF(F170=0,"NO QUOTA FOUND",IF(C170&gt;=F170*0.25,"On Track","Behind"))</f>
        <v/>
      </c>
      <c r="H170">
        <f>C170*IF(B170="West",0.95,1)</f>
        <v/>
      </c>
    </row>
    <row r="171">
      <c r="A171">
        <f>Raw_Bookings!A172</f>
        <v/>
      </c>
      <c r="B171">
        <f>IF(TRIM(LOWER(Raw_Bookings!D172))="east","East",IF(TRIM(LOWER(Raw_Bookings!D172))="west","West",IF(TRIM(LOWER(Raw_Bookings!D172))="central","Central",IF(TRIM(LOWER(Raw_Bookings!D172))="south","South","UNKNOWN"))))</f>
        <v/>
      </c>
      <c r="C171">
        <f>IFERROR(Raw_Bookings!H172*VLOOKUP(Raw_Bookings!I172,Rates!$A$2:$B$6,2,FALSE),Raw_Bookings!H172)</f>
        <v/>
      </c>
      <c r="D171">
        <f>IF(Raw_Bookings!F172="New License","NEW",IF(OR(Raw_Bookings!F172="Renewal",Raw_Bookings!F172="Support"),"RECURRING","OTHER"))</f>
        <v/>
      </c>
      <c r="E171">
        <f>IFERROR(VLOOKUP(Raw_Bookings!G172,Rep_Master!$A$2:$D$18,3,FALSE),"")</f>
        <v/>
      </c>
      <c r="F171">
        <f>IFERROR(VLOOKUP(E171,Rep_Targets!$A$2:$D$9,4,FALSE),0)</f>
        <v/>
      </c>
      <c r="G171">
        <f>IF(F171=0,"NO QUOTA FOUND",IF(C171&gt;=F171*0.25,"On Track","Behind"))</f>
        <v/>
      </c>
      <c r="H171">
        <f>C171*IF(B171="West",0.95,1)</f>
        <v/>
      </c>
    </row>
    <row r="172">
      <c r="A172">
        <f>Raw_Bookings!A173</f>
        <v/>
      </c>
      <c r="B172">
        <f>IF(TRIM(LOWER(Raw_Bookings!D173))="east","East",IF(TRIM(LOWER(Raw_Bookings!D173))="west","West",IF(TRIM(LOWER(Raw_Bookings!D173))="central","Central",IF(TRIM(LOWER(Raw_Bookings!D173))="south","South","UNKNOWN"))))</f>
        <v/>
      </c>
      <c r="C172">
        <f>IFERROR(Raw_Bookings!H173*VLOOKUP(Raw_Bookings!I173,Rates!$A$2:$B$6,2,FALSE),Raw_Bookings!H173)</f>
        <v/>
      </c>
      <c r="D172">
        <f>IF(Raw_Bookings!F173="New License","NEW",IF(OR(Raw_Bookings!F173="Renewal",Raw_Bookings!F173="Support"),"RECURRING","OTHER"))</f>
        <v/>
      </c>
      <c r="E172">
        <f>IFERROR(VLOOKUP(Raw_Bookings!G173,Rep_Master!$A$2:$D$18,3,FALSE),"")</f>
        <v/>
      </c>
      <c r="F172">
        <f>IFERROR(VLOOKUP(E172,Rep_Targets!$A$2:$D$9,4,FALSE),0)</f>
        <v/>
      </c>
      <c r="G172">
        <f>IF(F172=0,"NO QUOTA FOUND",IF(C172&gt;=F172*0.25,"On Track","Behind"))</f>
        <v/>
      </c>
      <c r="H172">
        <f>C172*IF(B172="West",0.95,1)</f>
        <v/>
      </c>
    </row>
    <row r="173">
      <c r="A173">
        <f>Raw_Bookings!A174</f>
        <v/>
      </c>
      <c r="B173">
        <f>IF(TRIM(LOWER(Raw_Bookings!D174))="east","East",IF(TRIM(LOWER(Raw_Bookings!D174))="west","West",IF(TRIM(LOWER(Raw_Bookings!D174))="central","Central",IF(TRIM(LOWER(Raw_Bookings!D174))="south","South","UNKNOWN"))))</f>
        <v/>
      </c>
      <c r="C173">
        <f>IFERROR(Raw_Bookings!H174*VLOOKUP(Raw_Bookings!I174,Rates!$A$2:$B$6,2,FALSE),Raw_Bookings!H174)</f>
        <v/>
      </c>
      <c r="D173">
        <f>IF(Raw_Bookings!F174="New License","NEW",IF(OR(Raw_Bookings!F174="Renewal",Raw_Bookings!F174="Support"),"RECURRING","OTHER"))</f>
        <v/>
      </c>
      <c r="E173">
        <f>IFERROR(VLOOKUP(Raw_Bookings!G174,Rep_Master!$A$2:$D$18,3,FALSE),"")</f>
        <v/>
      </c>
      <c r="F173">
        <f>IFERROR(VLOOKUP(E173,Rep_Targets!$A$2:$D$9,4,FALSE),0)</f>
        <v/>
      </c>
      <c r="G173">
        <f>IF(F173=0,"NO QUOTA FOUND",IF(C173&gt;=F173*0.25,"On Track","Behind"))</f>
        <v/>
      </c>
      <c r="H173">
        <f>C173*IF(B173="West",0.95,1)</f>
        <v/>
      </c>
    </row>
    <row r="174">
      <c r="A174">
        <f>Raw_Bookings!A175</f>
        <v/>
      </c>
      <c r="B174">
        <f>IF(TRIM(LOWER(Raw_Bookings!D175))="east","East",IF(TRIM(LOWER(Raw_Bookings!D175))="west","West",IF(TRIM(LOWER(Raw_Bookings!D175))="central","Central",IF(TRIM(LOWER(Raw_Bookings!D175))="south","South","UNKNOWN"))))</f>
        <v/>
      </c>
      <c r="C174">
        <f>IFERROR(Raw_Bookings!H175*VLOOKUP(Raw_Bookings!I175,Rates!$A$2:$B$6,2,FALSE),Raw_Bookings!H175)</f>
        <v/>
      </c>
      <c r="D174">
        <f>IF(Raw_Bookings!F175="New License","NEW",IF(OR(Raw_Bookings!F175="Renewal",Raw_Bookings!F175="Support"),"RECURRING","OTHER"))</f>
        <v/>
      </c>
      <c r="E174">
        <f>IFERROR(VLOOKUP(Raw_Bookings!G175,Rep_Master!$A$2:$D$18,3,FALSE),"")</f>
        <v/>
      </c>
      <c r="F174">
        <f>IFERROR(VLOOKUP(E174,Rep_Targets!$A$2:$D$9,4,FALSE),0)</f>
        <v/>
      </c>
      <c r="G174">
        <f>IF(F174=0,"NO QUOTA FOUND",IF(C174&gt;=F174*0.25,"On Track","Behind"))</f>
        <v/>
      </c>
      <c r="H174">
        <f>C174*IF(B174="West",0.95,1)</f>
        <v/>
      </c>
    </row>
    <row r="175">
      <c r="A175">
        <f>Raw_Bookings!A176</f>
        <v/>
      </c>
      <c r="B175">
        <f>IF(TRIM(LOWER(Raw_Bookings!D176))="east","East",IF(TRIM(LOWER(Raw_Bookings!D176))="west","West",IF(TRIM(LOWER(Raw_Bookings!D176))="central","Central",IF(TRIM(LOWER(Raw_Bookings!D176))="south","South","UNKNOWN"))))</f>
        <v/>
      </c>
      <c r="C175">
        <f>IFERROR(Raw_Bookings!H176*VLOOKUP(Raw_Bookings!I176,Rates!$A$2:$B$6,2,FALSE),Raw_Bookings!H176)</f>
        <v/>
      </c>
      <c r="D175">
        <f>IF(Raw_Bookings!F176="New License","NEW",IF(OR(Raw_Bookings!F176="Renewal",Raw_Bookings!F176="Support"),"RECURRING","OTHER"))</f>
        <v/>
      </c>
      <c r="E175">
        <f>IFERROR(VLOOKUP(Raw_Bookings!G176,Rep_Master!$A$2:$D$18,3,FALSE),"")</f>
        <v/>
      </c>
      <c r="F175">
        <f>IFERROR(VLOOKUP(E175,Rep_Targets!$A$2:$D$9,4,FALSE),0)</f>
        <v/>
      </c>
      <c r="G175">
        <f>IF(F175=0,"NO QUOTA FOUND",IF(C175&gt;=F175*0.25,"On Track","Behind"))</f>
        <v/>
      </c>
      <c r="H175">
        <f>C175*IF(B175="West",0.95,1)</f>
        <v/>
      </c>
    </row>
    <row r="176">
      <c r="A176">
        <f>Raw_Bookings!A177</f>
        <v/>
      </c>
      <c r="B176">
        <f>IF(TRIM(LOWER(Raw_Bookings!D177))="east","East",IF(TRIM(LOWER(Raw_Bookings!D177))="west","West",IF(TRIM(LOWER(Raw_Bookings!D177))="central","Central",IF(TRIM(LOWER(Raw_Bookings!D177))="south","South","UNKNOWN"))))</f>
        <v/>
      </c>
      <c r="C176">
        <f>IFERROR(Raw_Bookings!H177*VLOOKUP(Raw_Bookings!I177,Rates!$A$2:$B$6,2,FALSE),Raw_Bookings!H177)</f>
        <v/>
      </c>
      <c r="D176">
        <f>IF(Raw_Bookings!F177="New License","NEW",IF(OR(Raw_Bookings!F177="Renewal",Raw_Bookings!F177="Support"),"RECURRING","OTHER"))</f>
        <v/>
      </c>
      <c r="E176">
        <f>IFERROR(VLOOKUP(Raw_Bookings!G177,Rep_Master!$A$2:$D$18,3,FALSE),"")</f>
        <v/>
      </c>
      <c r="F176">
        <f>IFERROR(VLOOKUP(E176,Rep_Targets!$A$2:$D$9,4,FALSE),0)</f>
        <v/>
      </c>
      <c r="G176">
        <f>IF(F176=0,"NO QUOTA FOUND",IF(C176&gt;=F176*0.25,"On Track","Behind"))</f>
        <v/>
      </c>
      <c r="H176">
        <f>C176*IF(B176="West",0.95,1)</f>
        <v/>
      </c>
    </row>
    <row r="177">
      <c r="A177">
        <f>Raw_Bookings!A178</f>
        <v/>
      </c>
      <c r="B177">
        <f>IF(TRIM(LOWER(Raw_Bookings!D178))="east","East",IF(TRIM(LOWER(Raw_Bookings!D178))="west","West",IF(TRIM(LOWER(Raw_Bookings!D178))="central","Central",IF(TRIM(LOWER(Raw_Bookings!D178))="south","South","UNKNOWN"))))</f>
        <v/>
      </c>
      <c r="C177">
        <f>IFERROR(Raw_Bookings!H178*VLOOKUP(Raw_Bookings!I178,Rates!$A$2:$B$6,2,FALSE),Raw_Bookings!H178)</f>
        <v/>
      </c>
      <c r="D177">
        <f>IF(Raw_Bookings!F178="New License","NEW",IF(OR(Raw_Bookings!F178="Renewal",Raw_Bookings!F178="Support"),"RECURRING","OTHER"))</f>
        <v/>
      </c>
      <c r="E177">
        <f>IFERROR(VLOOKUP(Raw_Bookings!G178,Rep_Master!$A$2:$D$18,3,FALSE),"")</f>
        <v/>
      </c>
      <c r="F177">
        <f>IFERROR(VLOOKUP(E177,Rep_Targets!$A$2:$D$9,4,FALSE),0)</f>
        <v/>
      </c>
      <c r="G177">
        <f>IF(F177=0,"NO QUOTA FOUND",IF(C177&gt;=F177*0.25,"On Track","Behind"))</f>
        <v/>
      </c>
      <c r="H177">
        <f>C177*IF(B177="West",0.95,1)</f>
        <v/>
      </c>
    </row>
    <row r="178">
      <c r="A178">
        <f>Raw_Bookings!A179</f>
        <v/>
      </c>
      <c r="B178">
        <f>IF(TRIM(LOWER(Raw_Bookings!D179))="east","East",IF(TRIM(LOWER(Raw_Bookings!D179))="west","West",IF(TRIM(LOWER(Raw_Bookings!D179))="central","Central",IF(TRIM(LOWER(Raw_Bookings!D179))="south","South","UNKNOWN"))))</f>
        <v/>
      </c>
      <c r="C178">
        <f>IFERROR(Raw_Bookings!H179*VLOOKUP(Raw_Bookings!I179,Rates!$A$2:$B$6,2,FALSE),Raw_Bookings!H179)</f>
        <v/>
      </c>
      <c r="D178">
        <f>IF(Raw_Bookings!F179="New License","NEW",IF(OR(Raw_Bookings!F179="Renewal",Raw_Bookings!F179="Support"),"RECURRING","OTHER"))</f>
        <v/>
      </c>
      <c r="E178">
        <f>IFERROR(VLOOKUP(Raw_Bookings!G179,Rep_Master!$A$2:$D$18,3,FALSE),"")</f>
        <v/>
      </c>
      <c r="F178">
        <f>IFERROR(VLOOKUP(E178,Rep_Targets!$A$2:$D$9,4,FALSE),0)</f>
        <v/>
      </c>
      <c r="G178">
        <f>IF(F178=0,"NO QUOTA FOUND",IF(C178&gt;=F178*0.25,"On Track","Behind"))</f>
        <v/>
      </c>
      <c r="H178">
        <f>C178*IF(B178="West",0.95,1)</f>
        <v/>
      </c>
    </row>
    <row r="179">
      <c r="A179">
        <f>Raw_Bookings!A180</f>
        <v/>
      </c>
      <c r="B179">
        <f>IF(TRIM(LOWER(Raw_Bookings!D180))="east","East",IF(TRIM(LOWER(Raw_Bookings!D180))="west","West",IF(TRIM(LOWER(Raw_Bookings!D180))="central","Central",IF(TRIM(LOWER(Raw_Bookings!D180))="south","South","UNKNOWN"))))</f>
        <v/>
      </c>
      <c r="C179">
        <f>IFERROR(Raw_Bookings!H180*VLOOKUP(Raw_Bookings!I180,Rates!$A$2:$B$6,2,FALSE),Raw_Bookings!H180)</f>
        <v/>
      </c>
      <c r="D179">
        <f>IF(Raw_Bookings!F180="New License","NEW",IF(OR(Raw_Bookings!F180="Renewal",Raw_Bookings!F180="Support"),"RECURRING","OTHER"))</f>
        <v/>
      </c>
      <c r="E179">
        <f>IFERROR(VLOOKUP(Raw_Bookings!G180,Rep_Master!$A$2:$D$18,3,FALSE),"")</f>
        <v/>
      </c>
      <c r="F179">
        <f>IFERROR(VLOOKUP(E179,Rep_Targets!$A$2:$D$9,4,FALSE),0)</f>
        <v/>
      </c>
      <c r="G179">
        <f>IF(F179=0,"NO QUOTA FOUND",IF(C179&gt;=F179*0.25,"On Track","Behind"))</f>
        <v/>
      </c>
      <c r="H179">
        <f>C179*IF(B179="West",0.95,1)</f>
        <v/>
      </c>
    </row>
    <row r="180">
      <c r="A180">
        <f>Raw_Bookings!A181</f>
        <v/>
      </c>
      <c r="B180">
        <f>IF(TRIM(LOWER(Raw_Bookings!D181))="east","East",IF(TRIM(LOWER(Raw_Bookings!D181))="west","West",IF(TRIM(LOWER(Raw_Bookings!D181))="central","Central",IF(TRIM(LOWER(Raw_Bookings!D181))="south","South","UNKNOWN"))))</f>
        <v/>
      </c>
      <c r="C180">
        <f>IFERROR(Raw_Bookings!H181*VLOOKUP(Raw_Bookings!I181,Rates!$A$2:$B$6,2,FALSE),Raw_Bookings!H181)</f>
        <v/>
      </c>
      <c r="D180">
        <f>IF(Raw_Bookings!F181="New License","NEW",IF(OR(Raw_Bookings!F181="Renewal",Raw_Bookings!F181="Support"),"RECURRING","OTHER"))</f>
        <v/>
      </c>
      <c r="E180">
        <f>IFERROR(VLOOKUP(Raw_Bookings!G181,Rep_Master!$A$2:$D$18,3,FALSE),"")</f>
        <v/>
      </c>
      <c r="F180">
        <f>IFERROR(VLOOKUP(E180,Rep_Targets!$A$2:$D$9,4,FALSE),0)</f>
        <v/>
      </c>
      <c r="G180">
        <f>IF(F180=0,"NO QUOTA FOUND",IF(C180&gt;=F180*0.25,"On Track","Behind"))</f>
        <v/>
      </c>
      <c r="H180">
        <f>C180*IF(B180="West",0.95,1)</f>
        <v/>
      </c>
    </row>
    <row r="181">
      <c r="A181">
        <f>Raw_Bookings!A182</f>
        <v/>
      </c>
      <c r="B181">
        <f>IF(TRIM(LOWER(Raw_Bookings!D182))="east","East",IF(TRIM(LOWER(Raw_Bookings!D182))="west","West",IF(TRIM(LOWER(Raw_Bookings!D182))="central","Central",IF(TRIM(LOWER(Raw_Bookings!D182))="south","South","UNKNOWN"))))</f>
        <v/>
      </c>
      <c r="C181">
        <f>IFERROR(Raw_Bookings!H182*VLOOKUP(Raw_Bookings!I182,Rates!$A$2:$B$6,2,FALSE),Raw_Bookings!H182)</f>
        <v/>
      </c>
      <c r="D181">
        <f>IF(Raw_Bookings!F182="New License","NEW",IF(OR(Raw_Bookings!F182="Renewal",Raw_Bookings!F182="Support"),"RECURRING","OTHER"))</f>
        <v/>
      </c>
      <c r="E181">
        <f>IFERROR(VLOOKUP(Raw_Bookings!G182,Rep_Master!$A$2:$D$18,3,FALSE),"")</f>
        <v/>
      </c>
      <c r="F181">
        <f>IFERROR(VLOOKUP(E181,Rep_Targets!$A$2:$D$9,4,FALSE),0)</f>
        <v/>
      </c>
      <c r="G181">
        <f>IF(F181=0,"NO QUOTA FOUND",IF(C181&gt;=F181*0.25,"On Track","Behind"))</f>
        <v/>
      </c>
      <c r="H181">
        <f>C181*IF(B181="West",0.95,1)</f>
        <v/>
      </c>
    </row>
    <row r="182">
      <c r="A182">
        <f>Raw_Bookings!A183</f>
        <v/>
      </c>
      <c r="B182">
        <f>IF(TRIM(LOWER(Raw_Bookings!D183))="east","East",IF(TRIM(LOWER(Raw_Bookings!D183))="west","West",IF(TRIM(LOWER(Raw_Bookings!D183))="central","Central",IF(TRIM(LOWER(Raw_Bookings!D183))="south","South","UNKNOWN"))))</f>
        <v/>
      </c>
      <c r="C182">
        <f>IFERROR(Raw_Bookings!H183*VLOOKUP(Raw_Bookings!I183,Rates!$A$2:$B$6,2,FALSE),Raw_Bookings!H183)</f>
        <v/>
      </c>
      <c r="D182">
        <f>IF(Raw_Bookings!F183="New License","NEW",IF(OR(Raw_Bookings!F183="Renewal",Raw_Bookings!F183="Support"),"RECURRING","OTHER"))</f>
        <v/>
      </c>
      <c r="E182">
        <f>IFERROR(VLOOKUP(Raw_Bookings!G183,Rep_Master!$A$2:$D$18,3,FALSE),"")</f>
        <v/>
      </c>
      <c r="F182">
        <f>IFERROR(VLOOKUP(E182,Rep_Targets!$A$2:$D$9,4,FALSE),0)</f>
        <v/>
      </c>
      <c r="G182">
        <f>IF(F182=0,"NO QUOTA FOUND",IF(C182&gt;=F182*0.25,"On Track","Behind"))</f>
        <v/>
      </c>
      <c r="H182">
        <f>C182*IF(B182="West",0.95,1)</f>
        <v/>
      </c>
    </row>
    <row r="183">
      <c r="A183">
        <f>Raw_Bookings!A184</f>
        <v/>
      </c>
      <c r="B183">
        <f>IF(TRIM(LOWER(Raw_Bookings!D184))="east","East",IF(TRIM(LOWER(Raw_Bookings!D184))="west","West",IF(TRIM(LOWER(Raw_Bookings!D184))="central","Central",IF(TRIM(LOWER(Raw_Bookings!D184))="south","South","UNKNOWN"))))</f>
        <v/>
      </c>
      <c r="C183">
        <f>IFERROR(Raw_Bookings!H184*VLOOKUP(Raw_Bookings!I184,Rates!$A$2:$B$6,2,FALSE),Raw_Bookings!H184)</f>
        <v/>
      </c>
      <c r="D183">
        <f>IF(Raw_Bookings!F184="New License","NEW",IF(OR(Raw_Bookings!F184="Renewal",Raw_Bookings!F184="Support"),"RECURRING","OTHER"))</f>
        <v/>
      </c>
      <c r="E183">
        <f>IFERROR(VLOOKUP(Raw_Bookings!G184,Rep_Master!$A$2:$D$18,3,FALSE),"")</f>
        <v/>
      </c>
      <c r="F183">
        <f>IFERROR(VLOOKUP(E183,Rep_Targets!$A$2:$D$9,4,FALSE),0)</f>
        <v/>
      </c>
      <c r="G183">
        <f>IF(F183=0,"NO QUOTA FOUND",IF(C183&gt;=F183*0.25,"On Track","Behind"))</f>
        <v/>
      </c>
      <c r="H183">
        <f>C183*IF(B183="West",0.95,1)</f>
        <v/>
      </c>
    </row>
    <row r="184">
      <c r="A184">
        <f>Raw_Bookings!A185</f>
        <v/>
      </c>
      <c r="B184">
        <f>IF(TRIM(LOWER(Raw_Bookings!D185))="east","East",IF(TRIM(LOWER(Raw_Bookings!D185))="west","West",IF(TRIM(LOWER(Raw_Bookings!D185))="central","Central",IF(TRIM(LOWER(Raw_Bookings!D185))="south","South","UNKNOWN"))))</f>
        <v/>
      </c>
      <c r="C184">
        <f>IFERROR(Raw_Bookings!H185*VLOOKUP(Raw_Bookings!I185,Rates!$A$2:$B$6,2,FALSE),Raw_Bookings!H185)</f>
        <v/>
      </c>
      <c r="D184">
        <f>IF(Raw_Bookings!F185="New License","NEW",IF(OR(Raw_Bookings!F185="Renewal",Raw_Bookings!F185="Support"),"RECURRING","OTHER"))</f>
        <v/>
      </c>
      <c r="E184">
        <f>IFERROR(VLOOKUP(Raw_Bookings!G185,Rep_Master!$A$2:$D$18,3,FALSE),"")</f>
        <v/>
      </c>
      <c r="F184">
        <f>IFERROR(VLOOKUP(E184,Rep_Targets!$A$2:$D$9,4,FALSE),0)</f>
        <v/>
      </c>
      <c r="G184">
        <f>IF(F184=0,"NO QUOTA FOUND",IF(C184&gt;=F184*0.25,"On Track","Behind"))</f>
        <v/>
      </c>
      <c r="H184">
        <f>C184*IF(B184="West",0.95,1)</f>
        <v/>
      </c>
    </row>
    <row r="185">
      <c r="A185">
        <f>Raw_Bookings!A186</f>
        <v/>
      </c>
      <c r="B185">
        <f>IF(TRIM(LOWER(Raw_Bookings!D186))="east","East",IF(TRIM(LOWER(Raw_Bookings!D186))="west","West",IF(TRIM(LOWER(Raw_Bookings!D186))="central","Central",IF(TRIM(LOWER(Raw_Bookings!D186))="south","South","UNKNOWN"))))</f>
        <v/>
      </c>
      <c r="C185">
        <f>IFERROR(Raw_Bookings!H186*VLOOKUP(Raw_Bookings!I186,Rates!$A$2:$B$6,2,FALSE),Raw_Bookings!H186)</f>
        <v/>
      </c>
      <c r="D185">
        <f>IF(Raw_Bookings!F186="New License","NEW",IF(OR(Raw_Bookings!F186="Renewal",Raw_Bookings!F186="Support"),"RECURRING","OTHER"))</f>
        <v/>
      </c>
      <c r="E185">
        <f>IFERROR(VLOOKUP(Raw_Bookings!G186,Rep_Master!$A$2:$D$18,3,FALSE),"")</f>
        <v/>
      </c>
      <c r="F185">
        <f>IFERROR(VLOOKUP(E185,Rep_Targets!$A$2:$D$9,4,FALSE),0)</f>
        <v/>
      </c>
      <c r="G185">
        <f>IF(F185=0,"NO QUOTA FOUND",IF(C185&gt;=F185*0.25,"On Track","Behind"))</f>
        <v/>
      </c>
      <c r="H185">
        <f>C185*IF(B185="West",0.95,1)</f>
        <v/>
      </c>
    </row>
    <row r="186">
      <c r="A186">
        <f>Raw_Bookings!A187</f>
        <v/>
      </c>
      <c r="B186">
        <f>IF(TRIM(LOWER(Raw_Bookings!D187))="east","East",IF(TRIM(LOWER(Raw_Bookings!D187))="west","West",IF(TRIM(LOWER(Raw_Bookings!D187))="central","Central",IF(TRIM(LOWER(Raw_Bookings!D187))="south","South","UNKNOWN"))))</f>
        <v/>
      </c>
      <c r="C186">
        <f>IFERROR(Raw_Bookings!H187*VLOOKUP(Raw_Bookings!I187,Rates!$A$2:$B$6,2,FALSE),Raw_Bookings!H187)</f>
        <v/>
      </c>
      <c r="D186">
        <f>IF(Raw_Bookings!F187="New License","NEW",IF(OR(Raw_Bookings!F187="Renewal",Raw_Bookings!F187="Support"),"RECURRING","OTHER"))</f>
        <v/>
      </c>
      <c r="E186">
        <f>IFERROR(VLOOKUP(Raw_Bookings!G187,Rep_Master!$A$2:$D$18,3,FALSE),"")</f>
        <v/>
      </c>
      <c r="F186">
        <f>IFERROR(VLOOKUP(E186,Rep_Targets!$A$2:$D$9,4,FALSE),0)</f>
        <v/>
      </c>
      <c r="G186">
        <f>IF(F186=0,"NO QUOTA FOUND",IF(C186&gt;=F186*0.25,"On Track","Behind"))</f>
        <v/>
      </c>
      <c r="H186">
        <f>C186*IF(B186="West",0.95,1)</f>
        <v/>
      </c>
    </row>
    <row r="187">
      <c r="A187">
        <f>Raw_Bookings!A188</f>
        <v/>
      </c>
      <c r="B187">
        <f>IF(TRIM(LOWER(Raw_Bookings!D188))="east","East",IF(TRIM(LOWER(Raw_Bookings!D188))="west","West",IF(TRIM(LOWER(Raw_Bookings!D188))="central","Central",IF(TRIM(LOWER(Raw_Bookings!D188))="south","South","UNKNOWN"))))</f>
        <v/>
      </c>
      <c r="C187">
        <f>IFERROR(Raw_Bookings!H188*VLOOKUP(Raw_Bookings!I188,Rates!$A$2:$B$6,2,FALSE),Raw_Bookings!H188)</f>
        <v/>
      </c>
      <c r="D187">
        <f>IF(Raw_Bookings!F188="New License","NEW",IF(OR(Raw_Bookings!F188="Renewal",Raw_Bookings!F188="Support"),"RECURRING","OTHER"))</f>
        <v/>
      </c>
      <c r="E187">
        <f>IFERROR(VLOOKUP(Raw_Bookings!G188,Rep_Master!$A$2:$D$18,3,FALSE),"")</f>
        <v/>
      </c>
      <c r="F187">
        <f>IFERROR(VLOOKUP(E187,Rep_Targets!$A$2:$D$9,4,FALSE),0)</f>
        <v/>
      </c>
      <c r="G187">
        <f>IF(F187=0,"NO QUOTA FOUND",IF(C187&gt;=F187*0.25,"On Track","Behind"))</f>
        <v/>
      </c>
      <c r="H187">
        <f>C187*IF(B187="West",0.95,1)</f>
        <v/>
      </c>
    </row>
    <row r="188">
      <c r="A188">
        <f>Raw_Bookings!A189</f>
        <v/>
      </c>
      <c r="B188">
        <f>IF(TRIM(LOWER(Raw_Bookings!D189))="east","East",IF(TRIM(LOWER(Raw_Bookings!D189))="west","West",IF(TRIM(LOWER(Raw_Bookings!D189))="central","Central",IF(TRIM(LOWER(Raw_Bookings!D189))="south","South","UNKNOWN"))))</f>
        <v/>
      </c>
      <c r="C188">
        <f>IFERROR(Raw_Bookings!H189*VLOOKUP(Raw_Bookings!I189,Rates!$A$2:$B$6,2,FALSE),Raw_Bookings!H189)</f>
        <v/>
      </c>
      <c r="D188">
        <f>IF(Raw_Bookings!F189="New License","NEW",IF(OR(Raw_Bookings!F189="Renewal",Raw_Bookings!F189="Support"),"RECURRING","OTHER"))</f>
        <v/>
      </c>
      <c r="E188">
        <f>IFERROR(VLOOKUP(Raw_Bookings!G189,Rep_Master!$A$2:$D$18,3,FALSE),"")</f>
        <v/>
      </c>
      <c r="F188">
        <f>IFERROR(VLOOKUP(E188,Rep_Targets!$A$2:$D$9,4,FALSE),0)</f>
        <v/>
      </c>
      <c r="G188">
        <f>IF(F188=0,"NO QUOTA FOUND",IF(C188&gt;=F188*0.25,"On Track","Behind"))</f>
        <v/>
      </c>
      <c r="H188">
        <f>C188*IF(B188="West",0.95,1)</f>
        <v/>
      </c>
    </row>
    <row r="189">
      <c r="A189">
        <f>Raw_Bookings!A190</f>
        <v/>
      </c>
      <c r="B189">
        <f>IF(TRIM(LOWER(Raw_Bookings!D190))="east","East",IF(TRIM(LOWER(Raw_Bookings!D190))="west","West",IF(TRIM(LOWER(Raw_Bookings!D190))="central","Central",IF(TRIM(LOWER(Raw_Bookings!D190))="south","South","UNKNOWN"))))</f>
        <v/>
      </c>
      <c r="C189">
        <f>IFERROR(Raw_Bookings!H190*VLOOKUP(Raw_Bookings!I190,Rates!$A$2:$B$6,2,FALSE),Raw_Bookings!H190)</f>
        <v/>
      </c>
      <c r="D189">
        <f>IF(Raw_Bookings!F190="New License","NEW",IF(OR(Raw_Bookings!F190="Renewal",Raw_Bookings!F190="Support"),"RECURRING","OTHER"))</f>
        <v/>
      </c>
      <c r="E189">
        <f>IFERROR(VLOOKUP(Raw_Bookings!G190,Rep_Master!$A$2:$D$18,3,FALSE),"")</f>
        <v/>
      </c>
      <c r="F189">
        <f>IFERROR(VLOOKUP(E189,Rep_Targets!$A$2:$D$9,4,FALSE),0)</f>
        <v/>
      </c>
      <c r="G189">
        <f>IF(F189=0,"NO QUOTA FOUND",IF(C189&gt;=F189*0.25,"On Track","Behind"))</f>
        <v/>
      </c>
      <c r="H189">
        <f>C189*IF(B189="West",0.95,1)</f>
        <v/>
      </c>
    </row>
    <row r="190">
      <c r="A190">
        <f>Raw_Bookings!A191</f>
        <v/>
      </c>
      <c r="B190">
        <f>IF(TRIM(LOWER(Raw_Bookings!D191))="east","East",IF(TRIM(LOWER(Raw_Bookings!D191))="west","West",IF(TRIM(LOWER(Raw_Bookings!D191))="central","Central",IF(TRIM(LOWER(Raw_Bookings!D191))="south","South","UNKNOWN"))))</f>
        <v/>
      </c>
      <c r="C190">
        <f>IFERROR(Raw_Bookings!H191*VLOOKUP(Raw_Bookings!I191,Rates!$A$2:$B$6,2,FALSE),Raw_Bookings!H191)</f>
        <v/>
      </c>
      <c r="D190">
        <f>IF(Raw_Bookings!F191="New License","NEW",IF(OR(Raw_Bookings!F191="Renewal",Raw_Bookings!F191="Support"),"RECURRING","OTHER"))</f>
        <v/>
      </c>
      <c r="E190">
        <f>IFERROR(VLOOKUP(Raw_Bookings!G191,Rep_Master!$A$2:$D$18,3,FALSE),"")</f>
        <v/>
      </c>
      <c r="F190">
        <f>IFERROR(VLOOKUP(E190,Rep_Targets!$A$2:$D$9,4,FALSE),0)</f>
        <v/>
      </c>
      <c r="G190">
        <f>IF(F190=0,"NO QUOTA FOUND",IF(C190&gt;=F190*0.25,"On Track","Behind"))</f>
        <v/>
      </c>
      <c r="H190">
        <f>C190*IF(B190="West",0.95,1)</f>
        <v/>
      </c>
    </row>
    <row r="191">
      <c r="A191">
        <f>Raw_Bookings!A192</f>
        <v/>
      </c>
      <c r="B191">
        <f>IF(TRIM(LOWER(Raw_Bookings!D192))="east","East",IF(TRIM(LOWER(Raw_Bookings!D192))="west","West",IF(TRIM(LOWER(Raw_Bookings!D192))="central","Central",IF(TRIM(LOWER(Raw_Bookings!D192))="south","South","UNKNOWN"))))</f>
        <v/>
      </c>
      <c r="C191">
        <f>IFERROR(Raw_Bookings!H192*VLOOKUP(Raw_Bookings!I192,Rates!$A$2:$B$6,2,FALSE),Raw_Bookings!H192)</f>
        <v/>
      </c>
      <c r="D191">
        <f>IF(Raw_Bookings!F192="New License","NEW",IF(OR(Raw_Bookings!F192="Renewal",Raw_Bookings!F192="Support"),"RECURRING","OTHER"))</f>
        <v/>
      </c>
      <c r="E191">
        <f>IFERROR(VLOOKUP(Raw_Bookings!G192,Rep_Master!$A$2:$D$18,3,FALSE),"")</f>
        <v/>
      </c>
      <c r="F191">
        <f>IFERROR(VLOOKUP(E191,Rep_Targets!$A$2:$D$9,4,FALSE),0)</f>
        <v/>
      </c>
      <c r="G191">
        <f>IF(F191=0,"NO QUOTA FOUND",IF(C191&gt;=F191*0.25,"On Track","Behind"))</f>
        <v/>
      </c>
      <c r="H191">
        <f>C191*IF(B191="West",0.95,1)</f>
        <v/>
      </c>
    </row>
    <row r="192">
      <c r="A192">
        <f>Raw_Bookings!A193</f>
        <v/>
      </c>
      <c r="B192">
        <f>IF(TRIM(LOWER(Raw_Bookings!D193))="east","East",IF(TRIM(LOWER(Raw_Bookings!D193))="west","West",IF(TRIM(LOWER(Raw_Bookings!D193))="central","Central",IF(TRIM(LOWER(Raw_Bookings!D193))="south","South","UNKNOWN"))))</f>
        <v/>
      </c>
      <c r="C192">
        <f>IFERROR(Raw_Bookings!H193*VLOOKUP(Raw_Bookings!I193,Rates!$A$2:$B$6,2,FALSE),Raw_Bookings!H193)</f>
        <v/>
      </c>
      <c r="D192">
        <f>IF(Raw_Bookings!F193="New License","NEW",IF(OR(Raw_Bookings!F193="Renewal",Raw_Bookings!F193="Support"),"RECURRING","OTHER"))</f>
        <v/>
      </c>
      <c r="E192">
        <f>IFERROR(VLOOKUP(Raw_Bookings!G193,Rep_Master!$A$2:$D$18,3,FALSE),"")</f>
        <v/>
      </c>
      <c r="F192">
        <f>IFERROR(VLOOKUP(E192,Rep_Targets!$A$2:$D$9,4,FALSE),0)</f>
        <v/>
      </c>
      <c r="G192">
        <f>IF(F192=0,"NO QUOTA FOUND",IF(C192&gt;=F192*0.25,"On Track","Behind"))</f>
        <v/>
      </c>
      <c r="H192">
        <f>C192*IF(B192="West",0.95,1)</f>
        <v/>
      </c>
    </row>
    <row r="193">
      <c r="A193">
        <f>Raw_Bookings!A194</f>
        <v/>
      </c>
      <c r="B193">
        <f>IF(TRIM(LOWER(Raw_Bookings!D194))="east","East",IF(TRIM(LOWER(Raw_Bookings!D194))="west","West",IF(TRIM(LOWER(Raw_Bookings!D194))="central","Central",IF(TRIM(LOWER(Raw_Bookings!D194))="south","South","UNKNOWN"))))</f>
        <v/>
      </c>
      <c r="C193">
        <f>IFERROR(Raw_Bookings!H194*VLOOKUP(Raw_Bookings!I194,Rates!$A$2:$B$6,2,FALSE),Raw_Bookings!H194)</f>
        <v/>
      </c>
      <c r="D193">
        <f>IF(Raw_Bookings!F194="New License","NEW",IF(OR(Raw_Bookings!F194="Renewal",Raw_Bookings!F194="Support"),"RECURRING","OTHER"))</f>
        <v/>
      </c>
      <c r="E193">
        <f>IFERROR(VLOOKUP(Raw_Bookings!G194,Rep_Master!$A$2:$D$18,3,FALSE),"")</f>
        <v/>
      </c>
      <c r="F193">
        <f>IFERROR(VLOOKUP(E193,Rep_Targets!$A$2:$D$9,4,FALSE),0)</f>
        <v/>
      </c>
      <c r="G193">
        <f>IF(F193=0,"NO QUOTA FOUND",IF(C193&gt;=F193*0.25,"On Track","Behind"))</f>
        <v/>
      </c>
      <c r="H193">
        <f>C193*IF(B193="West",0.95,1)</f>
        <v/>
      </c>
    </row>
    <row r="194">
      <c r="A194">
        <f>Raw_Bookings!A195</f>
        <v/>
      </c>
      <c r="B194">
        <f>IF(TRIM(LOWER(Raw_Bookings!D195))="east","East",IF(TRIM(LOWER(Raw_Bookings!D195))="west","West",IF(TRIM(LOWER(Raw_Bookings!D195))="central","Central",IF(TRIM(LOWER(Raw_Bookings!D195))="south","South","UNKNOWN"))))</f>
        <v/>
      </c>
      <c r="C194">
        <f>IFERROR(Raw_Bookings!H195*VLOOKUP(Raw_Bookings!I195,Rates!$A$2:$B$6,2,FALSE),Raw_Bookings!H195)</f>
        <v/>
      </c>
      <c r="D194">
        <f>IF(Raw_Bookings!F195="New License","NEW",IF(OR(Raw_Bookings!F195="Renewal",Raw_Bookings!F195="Support"),"RECURRING","OTHER"))</f>
        <v/>
      </c>
      <c r="E194">
        <f>IFERROR(VLOOKUP(Raw_Bookings!G195,Rep_Master!$A$2:$D$18,3,FALSE),"")</f>
        <v/>
      </c>
      <c r="F194">
        <f>IFERROR(VLOOKUP(E194,Rep_Targets!$A$2:$D$9,4,FALSE),0)</f>
        <v/>
      </c>
      <c r="G194">
        <f>IF(F194=0,"NO QUOTA FOUND",IF(C194&gt;=F194*0.25,"On Track","Behind"))</f>
        <v/>
      </c>
      <c r="H194">
        <f>C194*IF(B194="West",0.95,1)</f>
        <v/>
      </c>
    </row>
    <row r="195">
      <c r="A195">
        <f>Raw_Bookings!A196</f>
        <v/>
      </c>
      <c r="B195">
        <f>IF(TRIM(LOWER(Raw_Bookings!D196))="east","East",IF(TRIM(LOWER(Raw_Bookings!D196))="west","West",IF(TRIM(LOWER(Raw_Bookings!D196))="central","Central",IF(TRIM(LOWER(Raw_Bookings!D196))="south","South","UNKNOWN"))))</f>
        <v/>
      </c>
      <c r="C195">
        <f>IFERROR(Raw_Bookings!H196*VLOOKUP(Raw_Bookings!I196,Rates!$A$2:$B$6,2,FALSE),Raw_Bookings!H196)</f>
        <v/>
      </c>
      <c r="D195">
        <f>IF(Raw_Bookings!F196="New License","NEW",IF(OR(Raw_Bookings!F196="Renewal",Raw_Bookings!F196="Support"),"RECURRING","OTHER"))</f>
        <v/>
      </c>
      <c r="E195">
        <f>IFERROR(VLOOKUP(Raw_Bookings!G196,Rep_Master!$A$2:$D$18,3,FALSE),"")</f>
        <v/>
      </c>
      <c r="F195">
        <f>IFERROR(VLOOKUP(E195,Rep_Targets!$A$2:$D$9,4,FALSE),0)</f>
        <v/>
      </c>
      <c r="G195">
        <f>IF(F195=0,"NO QUOTA FOUND",IF(C195&gt;=F195*0.25,"On Track","Behind"))</f>
        <v/>
      </c>
      <c r="H195">
        <f>C195*IF(B195="West",0.95,1)</f>
        <v/>
      </c>
    </row>
    <row r="196">
      <c r="A196">
        <f>Raw_Bookings!A197</f>
        <v/>
      </c>
      <c r="B196">
        <f>IF(TRIM(LOWER(Raw_Bookings!D197))="east","East",IF(TRIM(LOWER(Raw_Bookings!D197))="west","West",IF(TRIM(LOWER(Raw_Bookings!D197))="central","Central",IF(TRIM(LOWER(Raw_Bookings!D197))="south","South","UNKNOWN"))))</f>
        <v/>
      </c>
      <c r="C196">
        <f>IFERROR(Raw_Bookings!H197*VLOOKUP(Raw_Bookings!I197,Rates!$A$2:$B$6,2,FALSE),Raw_Bookings!H197)</f>
        <v/>
      </c>
      <c r="D196">
        <f>IF(Raw_Bookings!F197="New License","NEW",IF(OR(Raw_Bookings!F197="Renewal",Raw_Bookings!F197="Support"),"RECURRING","OTHER"))</f>
        <v/>
      </c>
      <c r="E196">
        <f>IFERROR(VLOOKUP(Raw_Bookings!G197,Rep_Master!$A$2:$D$18,3,FALSE),"")</f>
        <v/>
      </c>
      <c r="F196">
        <f>IFERROR(VLOOKUP(E196,Rep_Targets!$A$2:$D$9,4,FALSE),0)</f>
        <v/>
      </c>
      <c r="G196">
        <f>IF(F196=0,"NO QUOTA FOUND",IF(C196&gt;=F196*0.25,"On Track","Behind"))</f>
        <v/>
      </c>
      <c r="H196">
        <f>C196*IF(B196="West",0.95,1)</f>
        <v/>
      </c>
    </row>
    <row r="197">
      <c r="A197">
        <f>Raw_Bookings!A198</f>
        <v/>
      </c>
      <c r="B197">
        <f>IF(TRIM(LOWER(Raw_Bookings!D198))="east","East",IF(TRIM(LOWER(Raw_Bookings!D198))="west","West",IF(TRIM(LOWER(Raw_Bookings!D198))="central","Central",IF(TRIM(LOWER(Raw_Bookings!D198))="south","South","UNKNOWN"))))</f>
        <v/>
      </c>
      <c r="C197">
        <f>IFERROR(Raw_Bookings!H198*VLOOKUP(Raw_Bookings!I198,Rates!$A$2:$B$6,2,FALSE),Raw_Bookings!H198)</f>
        <v/>
      </c>
      <c r="D197">
        <f>IF(Raw_Bookings!F198="New License","NEW",IF(OR(Raw_Bookings!F198="Renewal",Raw_Bookings!F198="Support"),"RECURRING","OTHER"))</f>
        <v/>
      </c>
      <c r="E197">
        <f>IFERROR(VLOOKUP(Raw_Bookings!G198,Rep_Master!$A$2:$D$18,3,FALSE),"")</f>
        <v/>
      </c>
      <c r="F197">
        <f>IFERROR(VLOOKUP(E197,Rep_Targets!$A$2:$D$9,4,FALSE),0)</f>
        <v/>
      </c>
      <c r="G197">
        <f>IF(F197=0,"NO QUOTA FOUND",IF(C197&gt;=F197*0.25,"On Track","Behind"))</f>
        <v/>
      </c>
      <c r="H197">
        <f>C197*IF(B197="West",0.95,1)</f>
        <v/>
      </c>
    </row>
    <row r="198">
      <c r="A198">
        <f>Raw_Bookings!A199</f>
        <v/>
      </c>
      <c r="B198">
        <f>IF(TRIM(LOWER(Raw_Bookings!D199))="east","East",IF(TRIM(LOWER(Raw_Bookings!D199))="west","West",IF(TRIM(LOWER(Raw_Bookings!D199))="central","Central",IF(TRIM(LOWER(Raw_Bookings!D199))="south","South","UNKNOWN"))))</f>
        <v/>
      </c>
      <c r="C198">
        <f>IFERROR(Raw_Bookings!H199*VLOOKUP(Raw_Bookings!I199,Rates!$A$2:$B$6,2,FALSE),Raw_Bookings!H199)</f>
        <v/>
      </c>
      <c r="D198">
        <f>IF(Raw_Bookings!F199="New License","NEW",IF(OR(Raw_Bookings!F199="Renewal",Raw_Bookings!F199="Support"),"RECURRING","OTHER"))</f>
        <v/>
      </c>
      <c r="E198">
        <f>IFERROR(VLOOKUP(Raw_Bookings!G199,Rep_Master!$A$2:$D$18,3,FALSE),"")</f>
        <v/>
      </c>
      <c r="F198">
        <f>IFERROR(VLOOKUP(E198,Rep_Targets!$A$2:$D$9,4,FALSE),0)</f>
        <v/>
      </c>
      <c r="G198">
        <f>IF(F198=0,"NO QUOTA FOUND",IF(C198&gt;=F198*0.25,"On Track","Behind"))</f>
        <v/>
      </c>
      <c r="H198">
        <f>C198*IF(B198="West",0.95,1)</f>
        <v/>
      </c>
    </row>
    <row r="199">
      <c r="A199">
        <f>Raw_Bookings!A200</f>
        <v/>
      </c>
      <c r="B199">
        <f>IF(TRIM(LOWER(Raw_Bookings!D200))="east","East",IF(TRIM(LOWER(Raw_Bookings!D200))="west","West",IF(TRIM(LOWER(Raw_Bookings!D200))="central","Central",IF(TRIM(LOWER(Raw_Bookings!D200))="south","South","UNKNOWN"))))</f>
        <v/>
      </c>
      <c r="C199">
        <f>IFERROR(Raw_Bookings!H200*VLOOKUP(Raw_Bookings!I200,Rates!$A$2:$B$6,2,FALSE),Raw_Bookings!H200)</f>
        <v/>
      </c>
      <c r="D199">
        <f>IF(Raw_Bookings!F200="New License","NEW",IF(OR(Raw_Bookings!F200="Renewal",Raw_Bookings!F200="Support"),"RECURRING","OTHER"))</f>
        <v/>
      </c>
      <c r="E199">
        <f>IFERROR(VLOOKUP(Raw_Bookings!G200,Rep_Master!$A$2:$D$18,3,FALSE),"")</f>
        <v/>
      </c>
      <c r="F199">
        <f>IFERROR(VLOOKUP(E199,Rep_Targets!$A$2:$D$9,4,FALSE),0)</f>
        <v/>
      </c>
      <c r="G199">
        <f>IF(F199=0,"NO QUOTA FOUND",IF(C199&gt;=F199*0.25,"On Track","Behind"))</f>
        <v/>
      </c>
      <c r="H199">
        <f>C199*IF(B199="West",0.95,1)</f>
        <v/>
      </c>
    </row>
    <row r="200">
      <c r="A200">
        <f>Raw_Bookings!A201</f>
        <v/>
      </c>
      <c r="B200">
        <f>IF(TRIM(LOWER(Raw_Bookings!D201))="east","East",IF(TRIM(LOWER(Raw_Bookings!D201))="west","West",IF(TRIM(LOWER(Raw_Bookings!D201))="central","Central",IF(TRIM(LOWER(Raw_Bookings!D201))="south","South","UNKNOWN"))))</f>
        <v/>
      </c>
      <c r="C200">
        <f>IFERROR(Raw_Bookings!H201*VLOOKUP(Raw_Bookings!I201,Rates!$A$2:$B$6,2,FALSE),Raw_Bookings!H201)</f>
        <v/>
      </c>
      <c r="D200">
        <f>IF(Raw_Bookings!F201="New License","NEW",IF(OR(Raw_Bookings!F201="Renewal",Raw_Bookings!F201="Support"),"RECURRING","OTHER"))</f>
        <v/>
      </c>
      <c r="E200">
        <f>IFERROR(VLOOKUP(Raw_Bookings!G201,Rep_Master!$A$2:$D$18,3,FALSE),"")</f>
        <v/>
      </c>
      <c r="F200">
        <f>IFERROR(VLOOKUP(E200,Rep_Targets!$A$2:$D$9,4,FALSE),0)</f>
        <v/>
      </c>
      <c r="G200">
        <f>IF(F200=0,"NO QUOTA FOUND",IF(C200&gt;=F200*0.25,"On Track","Behind"))</f>
        <v/>
      </c>
      <c r="H200">
        <f>C200*IF(B200="West",0.95,1)</f>
        <v/>
      </c>
    </row>
    <row r="201">
      <c r="A201">
        <f>Raw_Bookings!A202</f>
        <v/>
      </c>
      <c r="B201">
        <f>IF(TRIM(LOWER(Raw_Bookings!D202))="east","East",IF(TRIM(LOWER(Raw_Bookings!D202))="west","West",IF(TRIM(LOWER(Raw_Bookings!D202))="central","Central",IF(TRIM(LOWER(Raw_Bookings!D202))="south","South","UNKNOWN"))))</f>
        <v/>
      </c>
      <c r="C201">
        <f>IFERROR(Raw_Bookings!H202*VLOOKUP(Raw_Bookings!I202,Rates!$A$2:$B$6,2,FALSE),Raw_Bookings!H202)</f>
        <v/>
      </c>
      <c r="D201">
        <f>IF(Raw_Bookings!F202="New License","NEW",IF(OR(Raw_Bookings!F202="Renewal",Raw_Bookings!F202="Support"),"RECURRING","OTHER"))</f>
        <v/>
      </c>
      <c r="E201">
        <f>IFERROR(VLOOKUP(Raw_Bookings!G202,Rep_Master!$A$2:$D$18,3,FALSE),"")</f>
        <v/>
      </c>
      <c r="F201">
        <f>IFERROR(VLOOKUP(E201,Rep_Targets!$A$2:$D$9,4,FALSE),0)</f>
        <v/>
      </c>
      <c r="G201">
        <f>IF(F201=0,"NO QUOTA FOUND",IF(C201&gt;=F201*0.25,"On Track","Behind"))</f>
        <v/>
      </c>
      <c r="H201">
        <f>C201*IF(B201="West",0.95,1)</f>
        <v/>
      </c>
    </row>
    <row r="202">
      <c r="A202">
        <f>Raw_Bookings!A203</f>
        <v/>
      </c>
      <c r="B202">
        <f>IF(TRIM(LOWER(Raw_Bookings!D203))="east","East",IF(TRIM(LOWER(Raw_Bookings!D203))="west","West",IF(TRIM(LOWER(Raw_Bookings!D203))="central","Central",IF(TRIM(LOWER(Raw_Bookings!D203))="south","South","UNKNOWN"))))</f>
        <v/>
      </c>
      <c r="C202">
        <f>IFERROR(Raw_Bookings!H203*VLOOKUP(Raw_Bookings!I203,Rates!$A$2:$B$6,2,FALSE),Raw_Bookings!H203)</f>
        <v/>
      </c>
      <c r="D202">
        <f>IF(Raw_Bookings!F203="New License","NEW",IF(OR(Raw_Bookings!F203="Renewal",Raw_Bookings!F203="Support"),"RECURRING","OTHER"))</f>
        <v/>
      </c>
      <c r="E202">
        <f>IFERROR(VLOOKUP(Raw_Bookings!G203,Rep_Master!$A$2:$D$18,3,FALSE),"")</f>
        <v/>
      </c>
      <c r="F202">
        <f>IFERROR(VLOOKUP(E202,Rep_Targets!$A$2:$D$9,4,FALSE),0)</f>
        <v/>
      </c>
      <c r="G202">
        <f>IF(F202=0,"NO QUOTA FOUND",IF(C202&gt;=F202*0.25,"On Track","Behind"))</f>
        <v/>
      </c>
      <c r="H202">
        <f>C202*IF(B202="West",0.95,1)</f>
        <v/>
      </c>
    </row>
    <row r="203">
      <c r="A203">
        <f>Raw_Bookings!A204</f>
        <v/>
      </c>
      <c r="B203">
        <f>IF(TRIM(LOWER(Raw_Bookings!D204))="east","East",IF(TRIM(LOWER(Raw_Bookings!D204))="west","West",IF(TRIM(LOWER(Raw_Bookings!D204))="central","Central",IF(TRIM(LOWER(Raw_Bookings!D204))="south","South","UNKNOWN"))))</f>
        <v/>
      </c>
      <c r="C203">
        <f>IFERROR(Raw_Bookings!H204*VLOOKUP(Raw_Bookings!I204,Rates!$A$2:$B$6,2,FALSE),Raw_Bookings!H204)</f>
        <v/>
      </c>
      <c r="D203">
        <f>IF(Raw_Bookings!F204="New License","NEW",IF(OR(Raw_Bookings!F204="Renewal",Raw_Bookings!F204="Support"),"RECURRING","OTHER"))</f>
        <v/>
      </c>
      <c r="E203">
        <f>IFERROR(VLOOKUP(Raw_Bookings!G204,Rep_Master!$A$2:$D$18,3,FALSE),"")</f>
        <v/>
      </c>
      <c r="F203">
        <f>IFERROR(VLOOKUP(E203,Rep_Targets!$A$2:$D$9,4,FALSE),0)</f>
        <v/>
      </c>
      <c r="G203">
        <f>IF(F203=0,"NO QUOTA FOUND",IF(C203&gt;=F203*0.25,"On Track","Behind"))</f>
        <v/>
      </c>
      <c r="H203">
        <f>C203*IF(B203="West",0.95,1)</f>
        <v/>
      </c>
    </row>
    <row r="204">
      <c r="A204">
        <f>Raw_Bookings!A205</f>
        <v/>
      </c>
      <c r="B204">
        <f>IF(TRIM(LOWER(Raw_Bookings!D205))="east","East",IF(TRIM(LOWER(Raw_Bookings!D205))="west","West",IF(TRIM(LOWER(Raw_Bookings!D205))="central","Central",IF(TRIM(LOWER(Raw_Bookings!D205))="south","South","UNKNOWN"))))</f>
        <v/>
      </c>
      <c r="C204">
        <f>IFERROR(Raw_Bookings!H205*VLOOKUP(Raw_Bookings!I205,Rates!$A$2:$B$6,2,FALSE),Raw_Bookings!H205)</f>
        <v/>
      </c>
      <c r="D204">
        <f>IF(Raw_Bookings!F205="New License","NEW",IF(OR(Raw_Bookings!F205="Renewal",Raw_Bookings!F205="Support"),"RECURRING","OTHER"))</f>
        <v/>
      </c>
      <c r="E204">
        <f>IFERROR(VLOOKUP(Raw_Bookings!G205,Rep_Master!$A$2:$D$18,3,FALSE),"")</f>
        <v/>
      </c>
      <c r="F204">
        <f>IFERROR(VLOOKUP(E204,Rep_Targets!$A$2:$D$9,4,FALSE),0)</f>
        <v/>
      </c>
      <c r="G204">
        <f>IF(F204=0,"NO QUOTA FOUND",IF(C204&gt;=F204*0.25,"On Track","Behind"))</f>
        <v/>
      </c>
      <c r="H204">
        <f>C204*IF(B204="West",0.95,1)</f>
        <v/>
      </c>
    </row>
    <row r="205">
      <c r="A205">
        <f>Raw_Bookings!A206</f>
        <v/>
      </c>
      <c r="B205">
        <f>IF(TRIM(LOWER(Raw_Bookings!D206))="east","East",IF(TRIM(LOWER(Raw_Bookings!D206))="west","West",IF(TRIM(LOWER(Raw_Bookings!D206))="central","Central",IF(TRIM(LOWER(Raw_Bookings!D206))="south","South","UNKNOWN"))))</f>
        <v/>
      </c>
      <c r="C205">
        <f>IFERROR(Raw_Bookings!H206*VLOOKUP(Raw_Bookings!I206,Rates!$A$2:$B$6,2,FALSE),Raw_Bookings!H206)</f>
        <v/>
      </c>
      <c r="D205">
        <f>IF(Raw_Bookings!F206="New License","NEW",IF(OR(Raw_Bookings!F206="Renewal",Raw_Bookings!F206="Support"),"RECURRING","OTHER"))</f>
        <v/>
      </c>
      <c r="E205">
        <f>IFERROR(VLOOKUP(Raw_Bookings!G206,Rep_Master!$A$2:$D$18,3,FALSE),"")</f>
        <v/>
      </c>
      <c r="F205">
        <f>IFERROR(VLOOKUP(E205,Rep_Targets!$A$2:$D$9,4,FALSE),0)</f>
        <v/>
      </c>
      <c r="G205">
        <f>IF(F205=0,"NO QUOTA FOUND",IF(C205&gt;=F205*0.25,"On Track","Behind"))</f>
        <v/>
      </c>
      <c r="H205">
        <f>C205*IF(B205="West",0.95,1)</f>
        <v/>
      </c>
    </row>
    <row r="206">
      <c r="A206">
        <f>Raw_Bookings!A207</f>
        <v/>
      </c>
      <c r="B206">
        <f>IF(TRIM(LOWER(Raw_Bookings!D207))="east","East",IF(TRIM(LOWER(Raw_Bookings!D207))="west","West",IF(TRIM(LOWER(Raw_Bookings!D207))="central","Central",IF(TRIM(LOWER(Raw_Bookings!D207))="south","South","UNKNOWN"))))</f>
        <v/>
      </c>
      <c r="C206">
        <f>IFERROR(Raw_Bookings!H207*VLOOKUP(Raw_Bookings!I207,Rates!$A$2:$B$6,2,FALSE),Raw_Bookings!H207)</f>
        <v/>
      </c>
      <c r="D206">
        <f>IF(Raw_Bookings!F207="New License","NEW",IF(OR(Raw_Bookings!F207="Renewal",Raw_Bookings!F207="Support"),"RECURRING","OTHER"))</f>
        <v/>
      </c>
      <c r="E206">
        <f>IFERROR(VLOOKUP(Raw_Bookings!G207,Rep_Master!$A$2:$D$18,3,FALSE),"")</f>
        <v/>
      </c>
      <c r="F206">
        <f>IFERROR(VLOOKUP(E206,Rep_Targets!$A$2:$D$9,4,FALSE),0)</f>
        <v/>
      </c>
      <c r="G206">
        <f>IF(F206=0,"NO QUOTA FOUND",IF(C206&gt;=F206*0.25,"On Track","Behind"))</f>
        <v/>
      </c>
      <c r="H206">
        <f>C206*IF(B206="West",0.95,1)</f>
        <v/>
      </c>
    </row>
    <row r="207">
      <c r="A207">
        <f>Raw_Bookings!A208</f>
        <v/>
      </c>
      <c r="B207">
        <f>IF(TRIM(LOWER(Raw_Bookings!D208))="east","East",IF(TRIM(LOWER(Raw_Bookings!D208))="west","West",IF(TRIM(LOWER(Raw_Bookings!D208))="central","Central",IF(TRIM(LOWER(Raw_Bookings!D208))="south","South","UNKNOWN"))))</f>
        <v/>
      </c>
      <c r="C207">
        <f>IFERROR(Raw_Bookings!H208*VLOOKUP(Raw_Bookings!I208,Rates!$A$2:$B$6,2,FALSE),Raw_Bookings!H208)</f>
        <v/>
      </c>
      <c r="D207">
        <f>IF(Raw_Bookings!F208="New License","NEW",IF(OR(Raw_Bookings!F208="Renewal",Raw_Bookings!F208="Support"),"RECURRING","OTHER"))</f>
        <v/>
      </c>
      <c r="E207">
        <f>IFERROR(VLOOKUP(Raw_Bookings!G208,Rep_Master!$A$2:$D$18,3,FALSE),"")</f>
        <v/>
      </c>
      <c r="F207">
        <f>IFERROR(VLOOKUP(E207,Rep_Targets!$A$2:$D$9,4,FALSE),0)</f>
        <v/>
      </c>
      <c r="G207">
        <f>IF(F207=0,"NO QUOTA FOUND",IF(C207&gt;=F207*0.25,"On Track","Behind"))</f>
        <v/>
      </c>
      <c r="H207">
        <f>C207*IF(B207="West",0.95,1)</f>
        <v/>
      </c>
    </row>
    <row r="208">
      <c r="A208">
        <f>Raw_Bookings!A209</f>
        <v/>
      </c>
      <c r="B208">
        <f>IF(TRIM(LOWER(Raw_Bookings!D209))="east","East",IF(TRIM(LOWER(Raw_Bookings!D209))="west","West",IF(TRIM(LOWER(Raw_Bookings!D209))="central","Central",IF(TRIM(LOWER(Raw_Bookings!D209))="south","South","UNKNOWN"))))</f>
        <v/>
      </c>
      <c r="C208">
        <f>IFERROR(Raw_Bookings!H209*VLOOKUP(Raw_Bookings!I209,Rates!$A$2:$B$6,2,FALSE),Raw_Bookings!H209)</f>
        <v/>
      </c>
      <c r="D208">
        <f>IF(Raw_Bookings!F209="New License","NEW",IF(OR(Raw_Bookings!F209="Renewal",Raw_Bookings!F209="Support"),"RECURRING","OTHER"))</f>
        <v/>
      </c>
      <c r="E208">
        <f>IFERROR(VLOOKUP(Raw_Bookings!G209,Rep_Master!$A$2:$D$18,3,FALSE),"")</f>
        <v/>
      </c>
      <c r="F208">
        <f>IFERROR(VLOOKUP(E208,Rep_Targets!$A$2:$D$9,4,FALSE),0)</f>
        <v/>
      </c>
      <c r="G208">
        <f>IF(F208=0,"NO QUOTA FOUND",IF(C208&gt;=F208*0.25,"On Track","Behind"))</f>
        <v/>
      </c>
      <c r="H208">
        <f>C208*IF(B208="West",0.95,1)</f>
        <v/>
      </c>
    </row>
    <row r="209">
      <c r="A209">
        <f>Raw_Bookings!A210</f>
        <v/>
      </c>
      <c r="B209">
        <f>IF(TRIM(LOWER(Raw_Bookings!D210))="east","East",IF(TRIM(LOWER(Raw_Bookings!D210))="west","West",IF(TRIM(LOWER(Raw_Bookings!D210))="central","Central",IF(TRIM(LOWER(Raw_Bookings!D210))="south","South","UNKNOWN"))))</f>
        <v/>
      </c>
      <c r="C209">
        <f>IFERROR(Raw_Bookings!H210*VLOOKUP(Raw_Bookings!I210,Rates!$A$2:$B$6,2,FALSE),Raw_Bookings!H210)</f>
        <v/>
      </c>
      <c r="D209">
        <f>IF(Raw_Bookings!F210="New License","NEW",IF(OR(Raw_Bookings!F210="Renewal",Raw_Bookings!F210="Support"),"RECURRING","OTHER"))</f>
        <v/>
      </c>
      <c r="E209">
        <f>IFERROR(VLOOKUP(Raw_Bookings!G210,Rep_Master!$A$2:$D$18,3,FALSE),"")</f>
        <v/>
      </c>
      <c r="F209">
        <f>IFERROR(VLOOKUP(E209,Rep_Targets!$A$2:$D$9,4,FALSE),0)</f>
        <v/>
      </c>
      <c r="G209">
        <f>IF(F209=0,"NO QUOTA FOUND",IF(C209&gt;=F209*0.25,"On Track","Behind"))</f>
        <v/>
      </c>
      <c r="H209">
        <f>C209*IF(B209="West",0.95,1)</f>
        <v/>
      </c>
    </row>
    <row r="210">
      <c r="A210">
        <f>Raw_Bookings!A211</f>
        <v/>
      </c>
      <c r="B210">
        <f>IF(TRIM(LOWER(Raw_Bookings!D211))="east","East",IF(TRIM(LOWER(Raw_Bookings!D211))="west","West",IF(TRIM(LOWER(Raw_Bookings!D211))="central","Central",IF(TRIM(LOWER(Raw_Bookings!D211))="south","South","UNKNOWN"))))</f>
        <v/>
      </c>
      <c r="C210">
        <f>IFERROR(Raw_Bookings!H211*VLOOKUP(Raw_Bookings!I211,Rates!$A$2:$B$6,2,FALSE),Raw_Bookings!H211)</f>
        <v/>
      </c>
      <c r="D210">
        <f>IF(Raw_Bookings!F211="New License","NEW",IF(OR(Raw_Bookings!F211="Renewal",Raw_Bookings!F211="Support"),"RECURRING","OTHER"))</f>
        <v/>
      </c>
      <c r="E210">
        <f>IFERROR(VLOOKUP(Raw_Bookings!G211,Rep_Master!$A$2:$D$18,3,FALSE),"")</f>
        <v/>
      </c>
      <c r="F210">
        <f>IFERROR(VLOOKUP(E210,Rep_Targets!$A$2:$D$9,4,FALSE),0)</f>
        <v/>
      </c>
      <c r="G210">
        <f>IF(F210=0,"NO QUOTA FOUND",IF(C210&gt;=F210*0.25,"On Track","Behind"))</f>
        <v/>
      </c>
      <c r="H210">
        <f>C210*IF(B210="West",0.95,1)</f>
        <v/>
      </c>
    </row>
    <row r="211">
      <c r="A211">
        <f>Raw_Bookings!A212</f>
        <v/>
      </c>
      <c r="B211">
        <f>IF(TRIM(LOWER(Raw_Bookings!D212))="east","East",IF(TRIM(LOWER(Raw_Bookings!D212))="west","West",IF(TRIM(LOWER(Raw_Bookings!D212))="central","Central",IF(TRIM(LOWER(Raw_Bookings!D212))="south","South","UNKNOWN"))))</f>
        <v/>
      </c>
      <c r="C211">
        <f>IFERROR(Raw_Bookings!H212*VLOOKUP(Raw_Bookings!I212,Rates!$A$2:$B$6,2,FALSE),Raw_Bookings!H212)</f>
        <v/>
      </c>
      <c r="D211">
        <f>IF(Raw_Bookings!F212="New License","NEW",IF(OR(Raw_Bookings!F212="Renewal",Raw_Bookings!F212="Support"),"RECURRING","OTHER"))</f>
        <v/>
      </c>
      <c r="E211">
        <f>IFERROR(VLOOKUP(Raw_Bookings!G212,Rep_Master!$A$2:$D$18,3,FALSE),"")</f>
        <v/>
      </c>
      <c r="F211">
        <f>IFERROR(VLOOKUP(E211,Rep_Targets!$A$2:$D$9,4,FALSE),0)</f>
        <v/>
      </c>
      <c r="G211">
        <f>IF(F211=0,"NO QUOTA FOUND",IF(C211&gt;=F211*0.25,"On Track","Behind"))</f>
        <v/>
      </c>
      <c r="H211" t="n">
        <v>68209.88</v>
      </c>
      <c r="I211" t="inlineStr">
        <is>
          <t>ADJ210</t>
        </is>
      </c>
      <c r="J211" t="inlineStr">
        <is>
          <t>mgr adj - see email 3/12</t>
        </is>
      </c>
    </row>
    <row r="212">
      <c r="A212">
        <f>Raw_Bookings!A213</f>
        <v/>
      </c>
      <c r="B212">
        <f>IF(TRIM(LOWER(Raw_Bookings!D213))="east","East",IF(TRIM(LOWER(Raw_Bookings!D213))="west","West",IF(TRIM(LOWER(Raw_Bookings!D213))="central","Central",IF(TRIM(LOWER(Raw_Bookings!D213))="south","South","UNKNOWN"))))</f>
        <v/>
      </c>
      <c r="C212">
        <f>IFERROR(Raw_Bookings!H213*VLOOKUP(Raw_Bookings!I213,Rates!$A$2:$B$6,2,FALSE),Raw_Bookings!H213)</f>
        <v/>
      </c>
      <c r="D212">
        <f>IF(Raw_Bookings!F213="New License","NEW",IF(OR(Raw_Bookings!F213="Renewal",Raw_Bookings!F213="Support"),"RECURRING","OTHER"))</f>
        <v/>
      </c>
      <c r="E212">
        <f>IFERROR(VLOOKUP(Raw_Bookings!G213,Rep_Master!$A$2:$D$18,3,FALSE),"")</f>
        <v/>
      </c>
      <c r="F212">
        <f>IFERROR(VLOOKUP(E212,Rep_Targets!$A$2:$D$9,4,FALSE),0)</f>
        <v/>
      </c>
      <c r="G212">
        <f>IF(F212=0,"NO QUOTA FOUND",IF(C212&gt;=F212*0.25,"On Track","Behind"))</f>
        <v/>
      </c>
      <c r="H212">
        <f>C212*IF(B212="West",0.95,1)</f>
        <v/>
      </c>
    </row>
    <row r="213">
      <c r="A213">
        <f>Raw_Bookings!A214</f>
        <v/>
      </c>
      <c r="B213">
        <f>IF(TRIM(LOWER(Raw_Bookings!D214))="east","East",IF(TRIM(LOWER(Raw_Bookings!D214))="west","West",IF(TRIM(LOWER(Raw_Bookings!D214))="central","Central",IF(TRIM(LOWER(Raw_Bookings!D214))="south","South","UNKNOWN"))))</f>
        <v/>
      </c>
      <c r="C213">
        <f>IFERROR(Raw_Bookings!H214*VLOOKUP(Raw_Bookings!I214,Rates!$A$2:$B$6,2,FALSE),Raw_Bookings!H214)</f>
        <v/>
      </c>
      <c r="D213">
        <f>IF(Raw_Bookings!F214="New License","NEW",IF(OR(Raw_Bookings!F214="Renewal",Raw_Bookings!F214="Support"),"RECURRING","OTHER"))</f>
        <v/>
      </c>
      <c r="E213">
        <f>IFERROR(VLOOKUP(Raw_Bookings!G214,Rep_Master!$A$2:$D$18,3,FALSE),"")</f>
        <v/>
      </c>
      <c r="F213">
        <f>IFERROR(VLOOKUP(E213,Rep_Targets!$A$2:$D$9,4,FALSE),0)</f>
        <v/>
      </c>
      <c r="G213">
        <f>IF(F213=0,"NO QUOTA FOUND",IF(C213&gt;=F213*0.25,"On Track","Behind"))</f>
        <v/>
      </c>
      <c r="H213">
        <f>C213*IF(B213="West",0.95,1)</f>
        <v/>
      </c>
    </row>
    <row r="214">
      <c r="A214">
        <f>Raw_Bookings!A215</f>
        <v/>
      </c>
      <c r="B214">
        <f>IF(TRIM(LOWER(Raw_Bookings!D215))="east","East",IF(TRIM(LOWER(Raw_Bookings!D215))="west","West",IF(TRIM(LOWER(Raw_Bookings!D215))="central","Central",IF(TRIM(LOWER(Raw_Bookings!D215))="south","South","UNKNOWN"))))</f>
        <v/>
      </c>
      <c r="C214">
        <f>IFERROR(Raw_Bookings!H215*VLOOKUP(Raw_Bookings!I215,Rates!$A$2:$B$6,2,FALSE),Raw_Bookings!H215)</f>
        <v/>
      </c>
      <c r="D214">
        <f>IF(Raw_Bookings!F215="New License","NEW",IF(OR(Raw_Bookings!F215="Renewal",Raw_Bookings!F215="Support"),"RECURRING","OTHER"))</f>
        <v/>
      </c>
      <c r="E214">
        <f>IFERROR(VLOOKUP(Raw_Bookings!G215,Rep_Master!$A$2:$D$18,3,FALSE),"")</f>
        <v/>
      </c>
      <c r="F214">
        <f>IFERROR(VLOOKUP(E214,Rep_Targets!$A$2:$D$9,4,FALSE),0)</f>
        <v/>
      </c>
      <c r="G214">
        <f>IF(F214=0,"NO QUOTA FOUND",IF(C214&gt;=F214*0.25,"On Track","Behind"))</f>
        <v/>
      </c>
      <c r="H214">
        <f>C214*IF(B214="West",0.95,1)</f>
        <v/>
      </c>
    </row>
    <row r="215">
      <c r="A215">
        <f>Raw_Bookings!A216</f>
        <v/>
      </c>
      <c r="B215">
        <f>IF(TRIM(LOWER(Raw_Bookings!D216))="east","East",IF(TRIM(LOWER(Raw_Bookings!D216))="west","West",IF(TRIM(LOWER(Raw_Bookings!D216))="central","Central",IF(TRIM(LOWER(Raw_Bookings!D216))="south","South","UNKNOWN"))))</f>
        <v/>
      </c>
      <c r="C215">
        <f>IFERROR(Raw_Bookings!H216*VLOOKUP(Raw_Bookings!I216,Rates!$A$2:$B$6,2,FALSE),Raw_Bookings!H216)</f>
        <v/>
      </c>
      <c r="D215">
        <f>IF(Raw_Bookings!F216="New License","NEW",IF(OR(Raw_Bookings!F216="Renewal",Raw_Bookings!F216="Support"),"RECURRING","OTHER"))</f>
        <v/>
      </c>
      <c r="E215">
        <f>IFERROR(VLOOKUP(Raw_Bookings!G216,Rep_Master!$A$2:$D$18,3,FALSE),"")</f>
        <v/>
      </c>
      <c r="F215">
        <f>IFERROR(VLOOKUP(E215,Rep_Targets!$A$2:$D$9,4,FALSE),0)</f>
        <v/>
      </c>
      <c r="G215">
        <f>IF(F215=0,"NO QUOTA FOUND",IF(C215&gt;=F215*0.25,"On Track","Behind"))</f>
        <v/>
      </c>
      <c r="H215">
        <f>C215*IF(B215="West",0.95,1)</f>
        <v/>
      </c>
    </row>
    <row r="216">
      <c r="A216">
        <f>Raw_Bookings!A217</f>
        <v/>
      </c>
      <c r="B216">
        <f>IF(TRIM(LOWER(Raw_Bookings!D217))="east","East",IF(TRIM(LOWER(Raw_Bookings!D217))="west","West",IF(TRIM(LOWER(Raw_Bookings!D217))="central","Central",IF(TRIM(LOWER(Raw_Bookings!D217))="south","South","UNKNOWN"))))</f>
        <v/>
      </c>
      <c r="C216">
        <f>IFERROR(Raw_Bookings!H217*VLOOKUP(Raw_Bookings!I217,Rates!$A$2:$B$6,2,FALSE),Raw_Bookings!H217)</f>
        <v/>
      </c>
      <c r="D216">
        <f>IF(Raw_Bookings!F217="New License","NEW",IF(OR(Raw_Bookings!F217="Renewal",Raw_Bookings!F217="Support"),"RECURRING","OTHER"))</f>
        <v/>
      </c>
      <c r="E216">
        <f>IFERROR(VLOOKUP(Raw_Bookings!G217,Rep_Master!$A$2:$D$18,3,FALSE),"")</f>
        <v/>
      </c>
      <c r="F216">
        <f>IFERROR(VLOOKUP(E216,Rep_Targets!$A$2:$D$9,4,FALSE),0)</f>
        <v/>
      </c>
      <c r="G216">
        <f>IF(F216=0,"NO QUOTA FOUND",IF(C216&gt;=F216*0.25,"On Track","Behind"))</f>
        <v/>
      </c>
      <c r="H216">
        <f>C216*IF(B216="West",0.95,1)</f>
        <v/>
      </c>
    </row>
    <row r="217">
      <c r="A217">
        <f>Raw_Bookings!A218</f>
        <v/>
      </c>
      <c r="B217">
        <f>IF(TRIM(LOWER(Raw_Bookings!D218))="east","East",IF(TRIM(LOWER(Raw_Bookings!D218))="west","West",IF(TRIM(LOWER(Raw_Bookings!D218))="central","Central",IF(TRIM(LOWER(Raw_Bookings!D218))="south","South","UNKNOWN"))))</f>
        <v/>
      </c>
      <c r="C217">
        <f>IFERROR(Raw_Bookings!H218*VLOOKUP(Raw_Bookings!I218,Rates!$A$2:$B$6,2,FALSE),Raw_Bookings!H218)</f>
        <v/>
      </c>
      <c r="D217">
        <f>IF(Raw_Bookings!F218="New License","NEW",IF(OR(Raw_Bookings!F218="Renewal",Raw_Bookings!F218="Support"),"RECURRING","OTHER"))</f>
        <v/>
      </c>
      <c r="E217">
        <f>IFERROR(VLOOKUP(Raw_Bookings!G218,Rep_Master!$A$2:$D$18,3,FALSE),"")</f>
        <v/>
      </c>
      <c r="F217">
        <f>IFERROR(VLOOKUP(E217,Rep_Targets!$A$2:$D$9,4,FALSE),0)</f>
        <v/>
      </c>
      <c r="G217">
        <f>IF(F217=0,"NO QUOTA FOUND",IF(C217&gt;=F217*0.25,"On Track","Behind"))</f>
        <v/>
      </c>
      <c r="H217">
        <f>C217*IF(B217="West",0.95,1)</f>
        <v/>
      </c>
    </row>
    <row r="218">
      <c r="A218">
        <f>Raw_Bookings!A219</f>
        <v/>
      </c>
      <c r="B218">
        <f>IF(TRIM(LOWER(Raw_Bookings!D219))="east","East",IF(TRIM(LOWER(Raw_Bookings!D219))="west","West",IF(TRIM(LOWER(Raw_Bookings!D219))="central","Central",IF(TRIM(LOWER(Raw_Bookings!D219))="south","South","UNKNOWN"))))</f>
        <v/>
      </c>
      <c r="C218">
        <f>IFERROR(Raw_Bookings!H219*VLOOKUP(Raw_Bookings!I219,Rates!$A$2:$B$6,2,FALSE),Raw_Bookings!H219)</f>
        <v/>
      </c>
      <c r="D218">
        <f>IF(Raw_Bookings!F219="New License","NEW",IF(OR(Raw_Bookings!F219="Renewal",Raw_Bookings!F219="Support"),"RECURRING","OTHER"))</f>
        <v/>
      </c>
      <c r="E218">
        <f>IFERROR(VLOOKUP(Raw_Bookings!G219,Rep_Master!$A$2:$D$18,3,FALSE),"")</f>
        <v/>
      </c>
      <c r="F218">
        <f>IFERROR(VLOOKUP(E218,Rep_Targets!$A$2:$D$9,4,FALSE),0)</f>
        <v/>
      </c>
      <c r="G218">
        <f>IF(F218=0,"NO QUOTA FOUND",IF(C218&gt;=F218*0.25,"On Track","Behind"))</f>
        <v/>
      </c>
      <c r="H218">
        <f>C218*IF(B218="West",0.95,1)</f>
        <v/>
      </c>
    </row>
    <row r="219">
      <c r="A219">
        <f>Raw_Bookings!A220</f>
        <v/>
      </c>
      <c r="B219">
        <f>IF(TRIM(LOWER(Raw_Bookings!D220))="east","East",IF(TRIM(LOWER(Raw_Bookings!D220))="west","West",IF(TRIM(LOWER(Raw_Bookings!D220))="central","Central",IF(TRIM(LOWER(Raw_Bookings!D220))="south","South","UNKNOWN"))))</f>
        <v/>
      </c>
      <c r="C219">
        <f>IFERROR(Raw_Bookings!H220*VLOOKUP(Raw_Bookings!I220,Rates!$A$2:$B$6,2,FALSE),Raw_Bookings!H220)</f>
        <v/>
      </c>
      <c r="D219">
        <f>IF(Raw_Bookings!F220="New License","NEW",IF(OR(Raw_Bookings!F220="Renewal",Raw_Bookings!F220="Support"),"RECURRING","OTHER"))</f>
        <v/>
      </c>
      <c r="E219">
        <f>IFERROR(VLOOKUP(Raw_Bookings!G220,Rep_Master!$A$2:$D$18,3,FALSE),"")</f>
        <v/>
      </c>
      <c r="F219">
        <f>IFERROR(VLOOKUP(E219,Rep_Targets!$A$2:$D$9,4,FALSE),0)</f>
        <v/>
      </c>
      <c r="G219">
        <f>IF(F219=0,"NO QUOTA FOUND",IF(C219&gt;=F219*0.25,"On Track","Behind"))</f>
        <v/>
      </c>
      <c r="H219">
        <f>C219*IF(B219="West",0.95,1)</f>
        <v/>
      </c>
    </row>
    <row r="220">
      <c r="A220">
        <f>Raw_Bookings!A221</f>
        <v/>
      </c>
      <c r="B220">
        <f>IF(TRIM(LOWER(Raw_Bookings!D221))="east","East",IF(TRIM(LOWER(Raw_Bookings!D221))="west","West",IF(TRIM(LOWER(Raw_Bookings!D221))="central","Central",IF(TRIM(LOWER(Raw_Bookings!D221))="south","South","UNKNOWN"))))</f>
        <v/>
      </c>
      <c r="C220">
        <f>IFERROR(Raw_Bookings!H221*VLOOKUP(Raw_Bookings!I221,Rates!$A$2:$B$6,2,FALSE),Raw_Bookings!H221)</f>
        <v/>
      </c>
      <c r="D220">
        <f>IF(Raw_Bookings!F221="New License","NEW",IF(OR(Raw_Bookings!F221="Renewal",Raw_Bookings!F221="Support"),"RECURRING","OTHER"))</f>
        <v/>
      </c>
      <c r="E220">
        <f>IFERROR(VLOOKUP(Raw_Bookings!G221,Rep_Master!$A$2:$D$18,3,FALSE),"")</f>
        <v/>
      </c>
      <c r="F220">
        <f>IFERROR(VLOOKUP(E220,Rep_Targets!$A$2:$D$9,4,FALSE),0)</f>
        <v/>
      </c>
      <c r="G220">
        <f>IF(F220=0,"NO QUOTA FOUND",IF(C220&gt;=F220*0.25,"On Track","Behind"))</f>
        <v/>
      </c>
      <c r="H220">
        <f>C220*IF(B220="West",0.95,1)</f>
        <v/>
      </c>
    </row>
    <row r="221">
      <c r="A221">
        <f>Raw_Bookings!A222</f>
        <v/>
      </c>
      <c r="B221">
        <f>IF(TRIM(LOWER(Raw_Bookings!D222))="east","East",IF(TRIM(LOWER(Raw_Bookings!D222))="west","West",IF(TRIM(LOWER(Raw_Bookings!D222))="central","Central",IF(TRIM(LOWER(Raw_Bookings!D222))="south","South","UNKNOWN"))))</f>
        <v/>
      </c>
      <c r="C221">
        <f>IFERROR(Raw_Bookings!H222*VLOOKUP(Raw_Bookings!I222,Rates!$A$2:$B$6,2,FALSE),Raw_Bookings!H222)</f>
        <v/>
      </c>
      <c r="D221">
        <f>IF(Raw_Bookings!F222="New License","NEW",IF(OR(Raw_Bookings!F222="Renewal",Raw_Bookings!F222="Support"),"RECURRING","OTHER"))</f>
        <v/>
      </c>
      <c r="E221">
        <f>IFERROR(VLOOKUP(Raw_Bookings!G222,Rep_Master!$A$2:$D$18,3,FALSE),"")</f>
        <v/>
      </c>
      <c r="F221">
        <f>IFERROR(VLOOKUP(E221,Rep_Targets!$A$2:$D$9,4,FALSE),0)</f>
        <v/>
      </c>
      <c r="G221">
        <f>IF(F221=0,"NO QUOTA FOUND",IF(C221&gt;=F221*0.25,"On Track","Behind"))</f>
        <v/>
      </c>
      <c r="H221">
        <f>C221*IF(B221="West",0.95,1)</f>
        <v/>
      </c>
    </row>
    <row r="222">
      <c r="A222">
        <f>Raw_Bookings!A223</f>
        <v/>
      </c>
      <c r="B222">
        <f>IF(TRIM(LOWER(Raw_Bookings!D223))="east","East",IF(TRIM(LOWER(Raw_Bookings!D223))="west","West",IF(TRIM(LOWER(Raw_Bookings!D223))="central","Central",IF(TRIM(LOWER(Raw_Bookings!D223))="south","South","UNKNOWN"))))</f>
        <v/>
      </c>
      <c r="C222">
        <f>IFERROR(Raw_Bookings!H223*VLOOKUP(Raw_Bookings!I223,Rates!$A$2:$B$6,2,FALSE),Raw_Bookings!H223)</f>
        <v/>
      </c>
      <c r="D222">
        <f>IF(Raw_Bookings!F223="New License","NEW",IF(OR(Raw_Bookings!F223="Renewal",Raw_Bookings!F223="Support"),"RECURRING","OTHER"))</f>
        <v/>
      </c>
      <c r="E222">
        <f>IFERROR(VLOOKUP(Raw_Bookings!G223,Rep_Master!$A$2:$D$18,3,FALSE),"")</f>
        <v/>
      </c>
      <c r="F222">
        <f>IFERROR(VLOOKUP(E222,Rep_Targets!$A$2:$D$9,4,FALSE),0)</f>
        <v/>
      </c>
      <c r="G222">
        <f>IF(F222=0,"NO QUOTA FOUND",IF(C222&gt;=F222*0.25,"On Track","Behind"))</f>
        <v/>
      </c>
      <c r="H222">
        <f>C222*IF(B222="West",0.95,1)</f>
        <v/>
      </c>
    </row>
    <row r="223">
      <c r="A223">
        <f>Raw_Bookings!A224</f>
        <v/>
      </c>
      <c r="B223">
        <f>IF(TRIM(LOWER(Raw_Bookings!D224))="east","East",IF(TRIM(LOWER(Raw_Bookings!D224))="west","West",IF(TRIM(LOWER(Raw_Bookings!D224))="central","Central",IF(TRIM(LOWER(Raw_Bookings!D224))="south","South","UNKNOWN"))))</f>
        <v/>
      </c>
      <c r="C223">
        <f>IFERROR(Raw_Bookings!H224*VLOOKUP(Raw_Bookings!I224,Rates!$A$2:$B$6,2,FALSE),Raw_Bookings!H224)</f>
        <v/>
      </c>
      <c r="D223">
        <f>IF(Raw_Bookings!F224="New License","NEW",IF(OR(Raw_Bookings!F224="Renewal",Raw_Bookings!F224="Support"),"RECURRING","OTHER"))</f>
        <v/>
      </c>
      <c r="E223">
        <f>IFERROR(VLOOKUP(Raw_Bookings!G224,Rep_Master!$A$2:$D$18,3,FALSE),"")</f>
        <v/>
      </c>
      <c r="F223">
        <f>IFERROR(VLOOKUP(E223,Rep_Targets!$A$2:$D$9,4,FALSE),0)</f>
        <v/>
      </c>
      <c r="G223">
        <f>IF(F223=0,"NO QUOTA FOUND",IF(C223&gt;=F223*0.25,"On Track","Behind"))</f>
        <v/>
      </c>
      <c r="H223">
        <f>C223*IF(B223="West",0.95,1)</f>
        <v/>
      </c>
    </row>
    <row r="224">
      <c r="A224">
        <f>Raw_Bookings!A225</f>
        <v/>
      </c>
      <c r="B224">
        <f>IF(TRIM(LOWER(Raw_Bookings!D225))="east","East",IF(TRIM(LOWER(Raw_Bookings!D225))="west","West",IF(TRIM(LOWER(Raw_Bookings!D225))="central","Central",IF(TRIM(LOWER(Raw_Bookings!D225))="south","South","UNKNOWN"))))</f>
        <v/>
      </c>
      <c r="C224">
        <f>IFERROR(Raw_Bookings!H225*VLOOKUP(Raw_Bookings!I225,Rates!$A$2:$B$6,2,FALSE),Raw_Bookings!H225)</f>
        <v/>
      </c>
      <c r="D224">
        <f>IF(Raw_Bookings!F225="New License","NEW",IF(OR(Raw_Bookings!F225="Renewal",Raw_Bookings!F225="Support"),"RECURRING","OTHER"))</f>
        <v/>
      </c>
      <c r="E224">
        <f>IFERROR(VLOOKUP(Raw_Bookings!G225,Rep_Master!$A$2:$D$18,3,FALSE),"")</f>
        <v/>
      </c>
      <c r="F224">
        <f>IFERROR(VLOOKUP(E224,Rep_Targets!$A$2:$D$9,4,FALSE),0)</f>
        <v/>
      </c>
      <c r="G224">
        <f>IF(F224=0,"NO QUOTA FOUND",IF(C224&gt;=F224*0.25,"On Track","Behind"))</f>
        <v/>
      </c>
      <c r="H224">
        <f>C224*IF(B224="West",0.95,1)</f>
        <v/>
      </c>
    </row>
    <row r="225">
      <c r="A225">
        <f>Raw_Bookings!A226</f>
        <v/>
      </c>
      <c r="B225">
        <f>IF(TRIM(LOWER(Raw_Bookings!D226))="east","East",IF(TRIM(LOWER(Raw_Bookings!D226))="west","West",IF(TRIM(LOWER(Raw_Bookings!D226))="central","Central",IF(TRIM(LOWER(Raw_Bookings!D226))="south","South","UNKNOWN"))))</f>
        <v/>
      </c>
      <c r="C225">
        <f>IFERROR(Raw_Bookings!H226*VLOOKUP(Raw_Bookings!I226,Rates!$A$2:$B$6,2,FALSE),Raw_Bookings!H226)</f>
        <v/>
      </c>
      <c r="D225">
        <f>IF(Raw_Bookings!F226="New License","NEW",IF(OR(Raw_Bookings!F226="Renewal",Raw_Bookings!F226="Support"),"RECURRING","OTHER"))</f>
        <v/>
      </c>
      <c r="E225">
        <f>IFERROR(VLOOKUP(Raw_Bookings!G226,Rep_Master!$A$2:$D$18,3,FALSE),"")</f>
        <v/>
      </c>
      <c r="F225">
        <f>IFERROR(VLOOKUP(E225,Rep_Targets!$A$2:$D$9,4,FALSE),0)</f>
        <v/>
      </c>
      <c r="G225">
        <f>IF(F225=0,"NO QUOTA FOUND",IF(C225&gt;=F225*0.25,"On Track","Behind"))</f>
        <v/>
      </c>
      <c r="H225">
        <f>C225*IF(B225="West",0.95,1)</f>
        <v/>
      </c>
    </row>
    <row r="226">
      <c r="A226">
        <f>Raw_Bookings!A227</f>
        <v/>
      </c>
      <c r="B226">
        <f>IF(TRIM(LOWER(Raw_Bookings!D227))="east","East",IF(TRIM(LOWER(Raw_Bookings!D227))="west","West",IF(TRIM(LOWER(Raw_Bookings!D227))="central","Central",IF(TRIM(LOWER(Raw_Bookings!D227))="south","South","UNKNOWN"))))</f>
        <v/>
      </c>
      <c r="C226">
        <f>IFERROR(Raw_Bookings!H227*VLOOKUP(Raw_Bookings!I227,Rates!$A$2:$B$6,2,FALSE),Raw_Bookings!H227)</f>
        <v/>
      </c>
      <c r="D226">
        <f>IF(Raw_Bookings!F227="New License","NEW",IF(OR(Raw_Bookings!F227="Renewal",Raw_Bookings!F227="Support"),"RECURRING","OTHER"))</f>
        <v/>
      </c>
      <c r="E226">
        <f>IFERROR(VLOOKUP(Raw_Bookings!G227,Rep_Master!$A$2:$D$18,3,FALSE),"")</f>
        <v/>
      </c>
      <c r="F226">
        <f>IFERROR(VLOOKUP(E226,Rep_Targets!$A$2:$D$9,4,FALSE),0)</f>
        <v/>
      </c>
      <c r="G226">
        <f>IF(F226=0,"NO QUOTA FOUND",IF(C226&gt;=F226*0.25,"On Track","Behind"))</f>
        <v/>
      </c>
      <c r="H226">
        <f>C226*IF(B226="West",0.95,1)</f>
        <v/>
      </c>
    </row>
    <row r="227">
      <c r="A227">
        <f>Raw_Bookings!A228</f>
        <v/>
      </c>
      <c r="B227">
        <f>IF(TRIM(LOWER(Raw_Bookings!D228))="east","East",IF(TRIM(LOWER(Raw_Bookings!D228))="west","West",IF(TRIM(LOWER(Raw_Bookings!D228))="central","Central",IF(TRIM(LOWER(Raw_Bookings!D228))="south","South","UNKNOWN"))))</f>
        <v/>
      </c>
      <c r="C227">
        <f>IFERROR(Raw_Bookings!H228*VLOOKUP(Raw_Bookings!I228,Rates!$A$2:$B$6,2,FALSE),Raw_Bookings!H228)</f>
        <v/>
      </c>
      <c r="D227">
        <f>IF(Raw_Bookings!F228="New License","NEW",IF(OR(Raw_Bookings!F228="Renewal",Raw_Bookings!F228="Support"),"RECURRING","OTHER"))</f>
        <v/>
      </c>
      <c r="E227">
        <f>IFERROR(VLOOKUP(Raw_Bookings!G228,Rep_Master!$A$2:$D$18,3,FALSE),"")</f>
        <v/>
      </c>
      <c r="F227">
        <f>IFERROR(VLOOKUP(E227,Rep_Targets!$A$2:$D$9,4,FALSE),0)</f>
        <v/>
      </c>
      <c r="G227">
        <f>IF(F227=0,"NO QUOTA FOUND",IF(C227&gt;=F227*0.25,"On Track","Behind"))</f>
        <v/>
      </c>
      <c r="H227">
        <f>C227*IF(B227="West",0.95,1)</f>
        <v/>
      </c>
    </row>
    <row r="228">
      <c r="A228">
        <f>Raw_Bookings!A229</f>
        <v/>
      </c>
      <c r="B228">
        <f>IF(TRIM(LOWER(Raw_Bookings!D229))="east","East",IF(TRIM(LOWER(Raw_Bookings!D229))="west","West",IF(TRIM(LOWER(Raw_Bookings!D229))="central","Central",IF(TRIM(LOWER(Raw_Bookings!D229))="south","South","UNKNOWN"))))</f>
        <v/>
      </c>
      <c r="C228">
        <f>IFERROR(Raw_Bookings!H229*VLOOKUP(Raw_Bookings!I229,Rates!$A$2:$B$6,2,FALSE),Raw_Bookings!H229)</f>
        <v/>
      </c>
      <c r="D228">
        <f>IF(Raw_Bookings!F229="New License","NEW",IF(OR(Raw_Bookings!F229="Renewal",Raw_Bookings!F229="Support"),"RECURRING","OTHER"))</f>
        <v/>
      </c>
      <c r="E228">
        <f>IFERROR(VLOOKUP(Raw_Bookings!G229,Rep_Master!$A$2:$D$18,3,FALSE),"")</f>
        <v/>
      </c>
      <c r="F228">
        <f>IFERROR(VLOOKUP(E228,Rep_Targets!$A$2:$D$9,4,FALSE),0)</f>
        <v/>
      </c>
      <c r="G228">
        <f>IF(F228=0,"NO QUOTA FOUND",IF(C228&gt;=F228*0.25,"On Track","Behind"))</f>
        <v/>
      </c>
      <c r="H228">
        <f>C228*IF(B228="West",0.95,1)</f>
        <v/>
      </c>
    </row>
    <row r="229">
      <c r="A229">
        <f>Raw_Bookings!A230</f>
        <v/>
      </c>
      <c r="B229">
        <f>IF(TRIM(LOWER(Raw_Bookings!D230))="east","East",IF(TRIM(LOWER(Raw_Bookings!D230))="west","West",IF(TRIM(LOWER(Raw_Bookings!D230))="central","Central",IF(TRIM(LOWER(Raw_Bookings!D230))="south","South","UNKNOWN"))))</f>
        <v/>
      </c>
      <c r="C229">
        <f>IFERROR(Raw_Bookings!H230*VLOOKUP(Raw_Bookings!I230,Rates!$A$2:$B$6,2,FALSE),Raw_Bookings!H230)</f>
        <v/>
      </c>
      <c r="D229">
        <f>IF(Raw_Bookings!F230="New License","NEW",IF(OR(Raw_Bookings!F230="Renewal",Raw_Bookings!F230="Support"),"RECURRING","OTHER"))</f>
        <v/>
      </c>
      <c r="E229">
        <f>IFERROR(VLOOKUP(Raw_Bookings!G230,Rep_Master!$A$2:$D$18,3,FALSE),"")</f>
        <v/>
      </c>
      <c r="F229">
        <f>IFERROR(VLOOKUP(E229,Rep_Targets!$A$2:$D$9,4,FALSE),0)</f>
        <v/>
      </c>
      <c r="G229">
        <f>IF(F229=0,"NO QUOTA FOUND",IF(C229&gt;=F229*0.25,"On Track","Behind"))</f>
        <v/>
      </c>
      <c r="H229">
        <f>C229*IF(B229="West",0.95,1)</f>
        <v/>
      </c>
    </row>
    <row r="230">
      <c r="A230">
        <f>Raw_Bookings!A231</f>
        <v/>
      </c>
      <c r="B230">
        <f>IF(TRIM(LOWER(Raw_Bookings!D231))="east","East",IF(TRIM(LOWER(Raw_Bookings!D231))="west","West",IF(TRIM(LOWER(Raw_Bookings!D231))="central","Central",IF(TRIM(LOWER(Raw_Bookings!D231))="south","South","UNKNOWN"))))</f>
        <v/>
      </c>
      <c r="C230">
        <f>IFERROR(Raw_Bookings!H231*VLOOKUP(Raw_Bookings!I231,Rates!$A$2:$B$6,2,FALSE),Raw_Bookings!H231)</f>
        <v/>
      </c>
      <c r="D230">
        <f>IF(Raw_Bookings!F231="New License","NEW",IF(OR(Raw_Bookings!F231="Renewal",Raw_Bookings!F231="Support"),"RECURRING","OTHER"))</f>
        <v/>
      </c>
      <c r="E230">
        <f>IFERROR(VLOOKUP(Raw_Bookings!G231,Rep_Master!$A$2:$D$18,3,FALSE),"")</f>
        <v/>
      </c>
      <c r="F230">
        <f>IFERROR(VLOOKUP(E230,Rep_Targets!$A$2:$D$9,4,FALSE),0)</f>
        <v/>
      </c>
      <c r="G230">
        <f>IF(F230=0,"NO QUOTA FOUND",IF(C230&gt;=F230*0.25,"On Track","Behind"))</f>
        <v/>
      </c>
      <c r="H230">
        <f>C230*IF(B230="West",0.95,1)</f>
        <v/>
      </c>
    </row>
    <row r="231">
      <c r="A231">
        <f>Raw_Bookings!A232</f>
        <v/>
      </c>
      <c r="B231">
        <f>IF(TRIM(LOWER(Raw_Bookings!D232))="east","East",IF(TRIM(LOWER(Raw_Bookings!D232))="west","West",IF(TRIM(LOWER(Raw_Bookings!D232))="central","Central",IF(TRIM(LOWER(Raw_Bookings!D232))="south","South","UNKNOWN"))))</f>
        <v/>
      </c>
      <c r="C231">
        <f>IFERROR(Raw_Bookings!H232*VLOOKUP(Raw_Bookings!I232,Rates!$A$2:$B$6,2,FALSE),Raw_Bookings!H232)</f>
        <v/>
      </c>
      <c r="D231">
        <f>IF(Raw_Bookings!F232="New License","NEW",IF(OR(Raw_Bookings!F232="Renewal",Raw_Bookings!F232="Support"),"RECURRING","OTHER"))</f>
        <v/>
      </c>
      <c r="E231">
        <f>IFERROR(VLOOKUP(Raw_Bookings!G232,Rep_Master!$A$2:$D$18,3,FALSE),"")</f>
        <v/>
      </c>
      <c r="F231">
        <f>IFERROR(VLOOKUP(E231,Rep_Targets!$A$2:$D$9,4,FALSE),0)</f>
        <v/>
      </c>
      <c r="G231">
        <f>IF(F231=0,"NO QUOTA FOUND",IF(C231&gt;=F231*0.25,"On Track","Behind"))</f>
        <v/>
      </c>
      <c r="H231">
        <f>C231*IF(B231="West",0.95,1)</f>
        <v/>
      </c>
    </row>
    <row r="232">
      <c r="A232">
        <f>Raw_Bookings!A233</f>
        <v/>
      </c>
      <c r="B232">
        <f>IF(TRIM(LOWER(Raw_Bookings!D233))="east","East",IF(TRIM(LOWER(Raw_Bookings!D233))="west","West",IF(TRIM(LOWER(Raw_Bookings!D233))="central","Central",IF(TRIM(LOWER(Raw_Bookings!D233))="south","South","UNKNOWN"))))</f>
        <v/>
      </c>
      <c r="C232">
        <f>IFERROR(Raw_Bookings!H233*VLOOKUP(Raw_Bookings!I233,Rates!$A$2:$B$6,2,FALSE),Raw_Bookings!H233)</f>
        <v/>
      </c>
      <c r="D232">
        <f>IF(Raw_Bookings!F233="New License","NEW",IF(OR(Raw_Bookings!F233="Renewal",Raw_Bookings!F233="Support"),"RECURRING","OTHER"))</f>
        <v/>
      </c>
      <c r="E232">
        <f>IFERROR(VLOOKUP(Raw_Bookings!G233,Rep_Master!$A$2:$D$18,3,FALSE),"")</f>
        <v/>
      </c>
      <c r="F232">
        <f>IFERROR(VLOOKUP(E232,Rep_Targets!$A$2:$D$9,4,FALSE),0)</f>
        <v/>
      </c>
      <c r="G232">
        <f>IF(F232=0,"NO QUOTA FOUND",IF(C232&gt;=F232*0.25,"On Track","Behind"))</f>
        <v/>
      </c>
      <c r="H232">
        <f>C232*IF(B232="West",0.95,1)</f>
        <v/>
      </c>
    </row>
    <row r="233">
      <c r="A233">
        <f>Raw_Bookings!A234</f>
        <v/>
      </c>
      <c r="B233">
        <f>IF(TRIM(LOWER(Raw_Bookings!D234))="east","East",IF(TRIM(LOWER(Raw_Bookings!D234))="west","West",IF(TRIM(LOWER(Raw_Bookings!D234))="central","Central",IF(TRIM(LOWER(Raw_Bookings!D234))="south","South","UNKNOWN"))))</f>
        <v/>
      </c>
      <c r="C233">
        <f>IFERROR(Raw_Bookings!H234*VLOOKUP(Raw_Bookings!I234,Rates!$A$2:$B$6,2,FALSE),Raw_Bookings!H234)</f>
        <v/>
      </c>
      <c r="D233">
        <f>IF(Raw_Bookings!F234="New License","NEW",IF(OR(Raw_Bookings!F234="Renewal",Raw_Bookings!F234="Support"),"RECURRING","OTHER"))</f>
        <v/>
      </c>
      <c r="E233">
        <f>IFERROR(VLOOKUP(Raw_Bookings!G234,Rep_Master!$A$2:$D$18,3,FALSE),"")</f>
        <v/>
      </c>
      <c r="F233">
        <f>IFERROR(VLOOKUP(E233,Rep_Targets!$A$2:$D$9,4,FALSE),0)</f>
        <v/>
      </c>
      <c r="G233">
        <f>IF(F233=0,"NO QUOTA FOUND",IF(C233&gt;=F233*0.25,"On Track","Behind"))</f>
        <v/>
      </c>
      <c r="H233">
        <f>C233*IF(B233="West",0.95,1)</f>
        <v/>
      </c>
    </row>
    <row r="234">
      <c r="A234">
        <f>Raw_Bookings!A235</f>
        <v/>
      </c>
      <c r="B234">
        <f>IF(TRIM(LOWER(Raw_Bookings!D235))="east","East",IF(TRIM(LOWER(Raw_Bookings!D235))="west","West",IF(TRIM(LOWER(Raw_Bookings!D235))="central","Central",IF(TRIM(LOWER(Raw_Bookings!D235))="south","South","UNKNOWN"))))</f>
        <v/>
      </c>
      <c r="C234">
        <f>IFERROR(Raw_Bookings!H235*VLOOKUP(Raw_Bookings!I235,Rates!$A$2:$B$6,2,FALSE),Raw_Bookings!H235)</f>
        <v/>
      </c>
      <c r="D234">
        <f>IF(Raw_Bookings!F235="New License","NEW",IF(OR(Raw_Bookings!F235="Renewal",Raw_Bookings!F235="Support"),"RECURRING","OTHER"))</f>
        <v/>
      </c>
      <c r="E234">
        <f>IFERROR(VLOOKUP(Raw_Bookings!G235,Rep_Master!$A$2:$D$18,3,FALSE),"")</f>
        <v/>
      </c>
      <c r="F234">
        <f>IFERROR(VLOOKUP(E234,Rep_Targets!$A$2:$D$9,4,FALSE),0)</f>
        <v/>
      </c>
      <c r="G234">
        <f>IF(F234=0,"NO QUOTA FOUND",IF(C234&gt;=F234*0.25,"On Track","Behind"))</f>
        <v/>
      </c>
      <c r="H234">
        <f>C234*IF(B234="West",0.95,1)</f>
        <v/>
      </c>
    </row>
    <row r="235">
      <c r="A235">
        <f>Raw_Bookings!A236</f>
        <v/>
      </c>
      <c r="B235">
        <f>IF(TRIM(LOWER(Raw_Bookings!D236))="east","East",IF(TRIM(LOWER(Raw_Bookings!D236))="west","West",IF(TRIM(LOWER(Raw_Bookings!D236))="central","Central",IF(TRIM(LOWER(Raw_Bookings!D236))="south","South","UNKNOWN"))))</f>
        <v/>
      </c>
      <c r="C235">
        <f>IFERROR(Raw_Bookings!H236*VLOOKUP(Raw_Bookings!I236,Rates!$A$2:$B$6,2,FALSE),Raw_Bookings!H236)</f>
        <v/>
      </c>
      <c r="D235">
        <f>IF(Raw_Bookings!F236="New License","NEW",IF(OR(Raw_Bookings!F236="Renewal",Raw_Bookings!F236="Support"),"RECURRING","OTHER"))</f>
        <v/>
      </c>
      <c r="E235">
        <f>IFERROR(VLOOKUP(Raw_Bookings!G236,Rep_Master!$A$2:$D$18,3,FALSE),"")</f>
        <v/>
      </c>
      <c r="F235">
        <f>IFERROR(VLOOKUP(E235,Rep_Targets!$A$2:$D$9,4,FALSE),0)</f>
        <v/>
      </c>
      <c r="G235">
        <f>IF(F235=0,"NO QUOTA FOUND",IF(C235&gt;=F235*0.25,"On Track","Behind"))</f>
        <v/>
      </c>
      <c r="H235">
        <f>C235*IF(B235="West",0.95,1)</f>
        <v/>
      </c>
    </row>
    <row r="236">
      <c r="A236">
        <f>Raw_Bookings!A237</f>
        <v/>
      </c>
      <c r="B236">
        <f>IF(TRIM(LOWER(Raw_Bookings!D237))="east","East",IF(TRIM(LOWER(Raw_Bookings!D237))="west","West",IF(TRIM(LOWER(Raw_Bookings!D237))="central","Central",IF(TRIM(LOWER(Raw_Bookings!D237))="south","South","UNKNOWN"))))</f>
        <v/>
      </c>
      <c r="C236">
        <f>IFERROR(Raw_Bookings!H237*VLOOKUP(Raw_Bookings!I237,Rates!$A$2:$B$6,2,FALSE),Raw_Bookings!H237)</f>
        <v/>
      </c>
      <c r="D236">
        <f>IF(Raw_Bookings!F237="New License","NEW",IF(OR(Raw_Bookings!F237="Renewal",Raw_Bookings!F237="Support"),"RECURRING","OTHER"))</f>
        <v/>
      </c>
      <c r="E236">
        <f>IFERROR(VLOOKUP(Raw_Bookings!G237,Rep_Master!$A$2:$D$18,3,FALSE),"")</f>
        <v/>
      </c>
      <c r="F236">
        <f>IFERROR(VLOOKUP(E236,Rep_Targets!$A$2:$D$9,4,FALSE),0)</f>
        <v/>
      </c>
      <c r="G236">
        <f>IF(F236=0,"NO QUOTA FOUND",IF(C236&gt;=F236*0.25,"On Track","Behind"))</f>
        <v/>
      </c>
      <c r="H236">
        <f>C236*IF(B236="West",0.95,1)</f>
        <v/>
      </c>
    </row>
    <row r="237">
      <c r="A237">
        <f>Raw_Bookings!A238</f>
        <v/>
      </c>
      <c r="B237">
        <f>IF(TRIM(LOWER(Raw_Bookings!D238))="east","East",IF(TRIM(LOWER(Raw_Bookings!D238))="west","West",IF(TRIM(LOWER(Raw_Bookings!D238))="central","Central",IF(TRIM(LOWER(Raw_Bookings!D238))="south","South","UNKNOWN"))))</f>
        <v/>
      </c>
      <c r="C237">
        <f>IFERROR(Raw_Bookings!H238*VLOOKUP(Raw_Bookings!I238,Rates!$A$2:$B$6,2,FALSE),Raw_Bookings!H238)</f>
        <v/>
      </c>
      <c r="D237">
        <f>IF(Raw_Bookings!F238="New License","NEW",IF(OR(Raw_Bookings!F238="Renewal",Raw_Bookings!F238="Support"),"RECURRING","OTHER"))</f>
        <v/>
      </c>
      <c r="E237">
        <f>IFERROR(VLOOKUP(Raw_Bookings!G238,Rep_Master!$A$2:$D$18,3,FALSE),"")</f>
        <v/>
      </c>
      <c r="F237">
        <f>IFERROR(VLOOKUP(E237,Rep_Targets!$A$2:$D$9,4,FALSE),0)</f>
        <v/>
      </c>
      <c r="G237">
        <f>IF(F237=0,"NO QUOTA FOUND",IF(C237&gt;=F237*0.25,"On Track","Behind"))</f>
        <v/>
      </c>
      <c r="H237">
        <f>C237*IF(B237="West",0.95,1)</f>
        <v/>
      </c>
    </row>
    <row r="238">
      <c r="A238">
        <f>Raw_Bookings!A239</f>
        <v/>
      </c>
      <c r="B238">
        <f>IF(TRIM(LOWER(Raw_Bookings!D239))="east","East",IF(TRIM(LOWER(Raw_Bookings!D239))="west","West",IF(TRIM(LOWER(Raw_Bookings!D239))="central","Central",IF(TRIM(LOWER(Raw_Bookings!D239))="south","South","UNKNOWN"))))</f>
        <v/>
      </c>
      <c r="C238">
        <f>IFERROR(Raw_Bookings!H239*VLOOKUP(Raw_Bookings!I239,Rates!$A$2:$B$6,2,FALSE),Raw_Bookings!H239)</f>
        <v/>
      </c>
      <c r="D238">
        <f>IF(Raw_Bookings!F239="New License","NEW",IF(OR(Raw_Bookings!F239="Renewal",Raw_Bookings!F239="Support"),"RECURRING","OTHER"))</f>
        <v/>
      </c>
      <c r="E238">
        <f>IFERROR(VLOOKUP(Raw_Bookings!G239,Rep_Master!$A$2:$D$18,3,FALSE),"")</f>
        <v/>
      </c>
      <c r="F238">
        <f>IFERROR(VLOOKUP(E238,Rep_Targets!$A$2:$D$9,4,FALSE),0)</f>
        <v/>
      </c>
      <c r="G238">
        <f>IF(F238=0,"NO QUOTA FOUND",IF(C238&gt;=F238*0.25,"On Track","Behind"))</f>
        <v/>
      </c>
      <c r="H238">
        <f>C238*IF(B238="West",0.95,1)</f>
        <v/>
      </c>
    </row>
    <row r="239">
      <c r="A239">
        <f>Raw_Bookings!A240</f>
        <v/>
      </c>
      <c r="B239">
        <f>IF(TRIM(LOWER(Raw_Bookings!D240))="east","East",IF(TRIM(LOWER(Raw_Bookings!D240))="west","West",IF(TRIM(LOWER(Raw_Bookings!D240))="central","Central",IF(TRIM(LOWER(Raw_Bookings!D240))="south","South","UNKNOWN"))))</f>
        <v/>
      </c>
      <c r="C239">
        <f>IFERROR(Raw_Bookings!H240*VLOOKUP(Raw_Bookings!I240,Rates!$A$2:$B$6,2,FALSE),Raw_Bookings!H240)</f>
        <v/>
      </c>
      <c r="D239">
        <f>IF(Raw_Bookings!F240="New License","NEW",IF(OR(Raw_Bookings!F240="Renewal",Raw_Bookings!F240="Support"),"RECURRING","OTHER"))</f>
        <v/>
      </c>
      <c r="E239">
        <f>IFERROR(VLOOKUP(Raw_Bookings!G240,Rep_Master!$A$2:$D$18,3,FALSE),"")</f>
        <v/>
      </c>
      <c r="F239">
        <f>IFERROR(VLOOKUP(E239,Rep_Targets!$A$2:$D$9,4,FALSE),0)</f>
        <v/>
      </c>
      <c r="G239">
        <f>IF(F239=0,"NO QUOTA FOUND",IF(C239&gt;=F239*0.25,"On Track","Behind"))</f>
        <v/>
      </c>
      <c r="H239">
        <f>C239*IF(B239="West",0.95,1)</f>
        <v/>
      </c>
    </row>
    <row r="240">
      <c r="A240">
        <f>Raw_Bookings!A241</f>
        <v/>
      </c>
      <c r="B240">
        <f>IF(TRIM(LOWER(Raw_Bookings!D241))="east","East",IF(TRIM(LOWER(Raw_Bookings!D241))="west","West",IF(TRIM(LOWER(Raw_Bookings!D241))="central","Central",IF(TRIM(LOWER(Raw_Bookings!D241))="south","South","UNKNOWN"))))</f>
        <v/>
      </c>
      <c r="C240">
        <f>IFERROR(Raw_Bookings!H241*VLOOKUP(Raw_Bookings!I241,Rates!$A$2:$B$6,2,FALSE),Raw_Bookings!H241)</f>
        <v/>
      </c>
      <c r="D240">
        <f>IF(Raw_Bookings!F241="New License","NEW",IF(OR(Raw_Bookings!F241="Renewal",Raw_Bookings!F241="Support"),"RECURRING","OTHER"))</f>
        <v/>
      </c>
      <c r="E240">
        <f>IFERROR(VLOOKUP(Raw_Bookings!G241,Rep_Master!$A$2:$D$18,3,FALSE),"")</f>
        <v/>
      </c>
      <c r="F240">
        <f>IFERROR(VLOOKUP(E240,Rep_Targets!$A$2:$D$9,4,FALSE),0)</f>
        <v/>
      </c>
      <c r="G240">
        <f>IF(F240=0,"NO QUOTA FOUND",IF(C240&gt;=F240*0.25,"On Track","Behind"))</f>
        <v/>
      </c>
      <c r="H240">
        <f>C240*IF(B240="West",0.95,1)</f>
        <v/>
      </c>
    </row>
    <row r="241">
      <c r="A241">
        <f>Raw_Bookings!A242</f>
        <v/>
      </c>
      <c r="B241">
        <f>IF(TRIM(LOWER(Raw_Bookings!D242))="east","East",IF(TRIM(LOWER(Raw_Bookings!D242))="west","West",IF(TRIM(LOWER(Raw_Bookings!D242))="central","Central",IF(TRIM(LOWER(Raw_Bookings!D242))="south","South","UNKNOWN"))))</f>
        <v/>
      </c>
      <c r="C241">
        <f>IFERROR(Raw_Bookings!H242*VLOOKUP(Raw_Bookings!I242,Rates!$A$2:$B$6,2,FALSE),Raw_Bookings!H242)</f>
        <v/>
      </c>
      <c r="D241">
        <f>IF(Raw_Bookings!F242="New License","NEW",IF(OR(Raw_Bookings!F242="Renewal",Raw_Bookings!F242="Support"),"RECURRING","OTHER"))</f>
        <v/>
      </c>
      <c r="E241">
        <f>IFERROR(VLOOKUP(Raw_Bookings!G242,Rep_Master!$A$2:$D$18,3,FALSE),"")</f>
        <v/>
      </c>
      <c r="F241">
        <f>IFERROR(VLOOKUP(E241,Rep_Targets!$A$2:$D$9,4,FALSE),0)</f>
        <v/>
      </c>
      <c r="G241">
        <f>IF(F241=0,"NO QUOTA FOUND",IF(C241&gt;=F241*0.25,"On Track","Behind"))</f>
        <v/>
      </c>
      <c r="H241">
        <f>C241*IF(B241="West",0.95,1)</f>
        <v/>
      </c>
    </row>
    <row r="242">
      <c r="A242">
        <f>Raw_Bookings!A243</f>
        <v/>
      </c>
      <c r="B242">
        <f>IF(TRIM(LOWER(Raw_Bookings!D243))="east","East",IF(TRIM(LOWER(Raw_Bookings!D243))="west","West",IF(TRIM(LOWER(Raw_Bookings!D243))="central","Central",IF(TRIM(LOWER(Raw_Bookings!D243))="south","South","UNKNOWN"))))</f>
        <v/>
      </c>
      <c r="C242">
        <f>IFERROR(Raw_Bookings!H243*VLOOKUP(Raw_Bookings!I243,Rates!$A$2:$B$6,2,FALSE),Raw_Bookings!H243)</f>
        <v/>
      </c>
      <c r="D242">
        <f>IF(Raw_Bookings!F243="New License","NEW",IF(OR(Raw_Bookings!F243="Renewal",Raw_Bookings!F243="Support"),"RECURRING","OTHER"))</f>
        <v/>
      </c>
      <c r="E242">
        <f>IFERROR(VLOOKUP(Raw_Bookings!G243,Rep_Master!$A$2:$D$18,3,FALSE),"")</f>
        <v/>
      </c>
      <c r="F242">
        <f>IFERROR(VLOOKUP(E242,Rep_Targets!$A$2:$D$9,4,FALSE),0)</f>
        <v/>
      </c>
      <c r="G242">
        <f>IF(F242=0,"NO QUOTA FOUND",IF(C242&gt;=F242*0.25,"On Track","Behind"))</f>
        <v/>
      </c>
      <c r="H242">
        <f>C242*IF(B242="West",0.95,1)</f>
        <v/>
      </c>
    </row>
    <row r="243">
      <c r="A243">
        <f>Raw_Bookings!A244</f>
        <v/>
      </c>
      <c r="B243">
        <f>IF(TRIM(LOWER(Raw_Bookings!D244))="east","East",IF(TRIM(LOWER(Raw_Bookings!D244))="west","West",IF(TRIM(LOWER(Raw_Bookings!D244))="central","Central",IF(TRIM(LOWER(Raw_Bookings!D244))="south","South","UNKNOWN"))))</f>
        <v/>
      </c>
      <c r="C243">
        <f>IFERROR(Raw_Bookings!H244*VLOOKUP(Raw_Bookings!I244,Rates!$A$2:$B$6,2,FALSE),Raw_Bookings!H244)</f>
        <v/>
      </c>
      <c r="D243">
        <f>IF(Raw_Bookings!F244="New License","NEW",IF(OR(Raw_Bookings!F244="Renewal",Raw_Bookings!F244="Support"),"RECURRING","OTHER"))</f>
        <v/>
      </c>
      <c r="E243">
        <f>IFERROR(VLOOKUP(Raw_Bookings!G244,Rep_Master!$A$2:$D$18,3,FALSE),"")</f>
        <v/>
      </c>
      <c r="F243">
        <f>IFERROR(VLOOKUP(E243,Rep_Targets!$A$2:$D$9,4,FALSE),0)</f>
        <v/>
      </c>
      <c r="G243">
        <f>IF(F243=0,"NO QUOTA FOUND",IF(C243&gt;=F243*0.25,"On Track","Behind"))</f>
        <v/>
      </c>
      <c r="H243">
        <f>C243*IF(B243="West",0.95,1)</f>
        <v/>
      </c>
    </row>
    <row r="244">
      <c r="A244">
        <f>Raw_Bookings!A245</f>
        <v/>
      </c>
      <c r="B244">
        <f>IF(TRIM(LOWER(Raw_Bookings!D245))="east","East",IF(TRIM(LOWER(Raw_Bookings!D245))="west","West",IF(TRIM(LOWER(Raw_Bookings!D245))="central","Central",IF(TRIM(LOWER(Raw_Bookings!D245))="south","South","UNKNOWN"))))</f>
        <v/>
      </c>
      <c r="C244">
        <f>IFERROR(Raw_Bookings!H245*VLOOKUP(Raw_Bookings!I245,Rates!$A$2:$B$6,2,FALSE),Raw_Bookings!H245)</f>
        <v/>
      </c>
      <c r="D244">
        <f>IF(Raw_Bookings!F245="New License","NEW",IF(OR(Raw_Bookings!F245="Renewal",Raw_Bookings!F245="Support"),"RECURRING","OTHER"))</f>
        <v/>
      </c>
      <c r="E244">
        <f>IFERROR(VLOOKUP(Raw_Bookings!G245,Rep_Master!$A$2:$D$18,3,FALSE),"")</f>
        <v/>
      </c>
      <c r="F244">
        <f>IFERROR(VLOOKUP(E244,Rep_Targets!$A$2:$D$9,4,FALSE),0)</f>
        <v/>
      </c>
      <c r="G244">
        <f>IF(F244=0,"NO QUOTA FOUND",IF(C244&gt;=F244*0.25,"On Track","Behind"))</f>
        <v/>
      </c>
      <c r="H244">
        <f>C244*IF(B244="West",0.95,1)</f>
        <v/>
      </c>
    </row>
    <row r="245">
      <c r="A245">
        <f>Raw_Bookings!A246</f>
        <v/>
      </c>
      <c r="B245">
        <f>IF(TRIM(LOWER(Raw_Bookings!D246))="east","East",IF(TRIM(LOWER(Raw_Bookings!D246))="west","West",IF(TRIM(LOWER(Raw_Bookings!D246))="central","Central",IF(TRIM(LOWER(Raw_Bookings!D246))="south","South","UNKNOWN"))))</f>
        <v/>
      </c>
      <c r="C245">
        <f>IFERROR(Raw_Bookings!H246*VLOOKUP(Raw_Bookings!I246,Rates!$A$2:$B$6,2,FALSE),Raw_Bookings!H246)</f>
        <v/>
      </c>
      <c r="D245">
        <f>IF(Raw_Bookings!F246="New License","NEW",IF(OR(Raw_Bookings!F246="Renewal",Raw_Bookings!F246="Support"),"RECURRING","OTHER"))</f>
        <v/>
      </c>
      <c r="E245">
        <f>IFERROR(VLOOKUP(Raw_Bookings!G246,Rep_Master!$A$2:$D$18,3,FALSE),"")</f>
        <v/>
      </c>
      <c r="F245">
        <f>IFERROR(VLOOKUP(E245,Rep_Targets!$A$2:$D$9,4,FALSE),0)</f>
        <v/>
      </c>
      <c r="G245">
        <f>IF(F245=0,"NO QUOTA FOUND",IF(C245&gt;=F245*0.25,"On Track","Behind"))</f>
        <v/>
      </c>
      <c r="H245">
        <f>C245*IF(B245="West",0.95,1)</f>
        <v/>
      </c>
    </row>
    <row r="246">
      <c r="A246">
        <f>Raw_Bookings!A247</f>
        <v/>
      </c>
      <c r="B246">
        <f>IF(TRIM(LOWER(Raw_Bookings!D247))="east","East",IF(TRIM(LOWER(Raw_Bookings!D247))="west","West",IF(TRIM(LOWER(Raw_Bookings!D247))="central","Central",IF(TRIM(LOWER(Raw_Bookings!D247))="south","South","UNKNOWN"))))</f>
        <v/>
      </c>
      <c r="C246">
        <f>IFERROR(Raw_Bookings!H247*VLOOKUP(Raw_Bookings!I247,Rates!$A$2:$B$6,2,FALSE),Raw_Bookings!H247)</f>
        <v/>
      </c>
      <c r="D246">
        <f>IF(Raw_Bookings!F247="New License","NEW",IF(OR(Raw_Bookings!F247="Renewal",Raw_Bookings!F247="Support"),"RECURRING","OTHER"))</f>
        <v/>
      </c>
      <c r="E246">
        <f>IFERROR(VLOOKUP(Raw_Bookings!G247,Rep_Master!$A$2:$D$18,3,FALSE),"")</f>
        <v/>
      </c>
      <c r="F246">
        <f>IFERROR(VLOOKUP(E246,Rep_Targets!$A$2:$D$9,4,FALSE),0)</f>
        <v/>
      </c>
      <c r="G246">
        <f>IF(F246=0,"NO QUOTA FOUND",IF(C246&gt;=F246*0.25,"On Track","Behind"))</f>
        <v/>
      </c>
      <c r="H246">
        <f>C246*IF(B246="West",0.95,1)</f>
        <v/>
      </c>
    </row>
    <row r="247">
      <c r="A247">
        <f>Raw_Bookings!A248</f>
        <v/>
      </c>
      <c r="B247">
        <f>IF(TRIM(LOWER(Raw_Bookings!D248))="east","East",IF(TRIM(LOWER(Raw_Bookings!D248))="west","West",IF(TRIM(LOWER(Raw_Bookings!D248))="central","Central",IF(TRIM(LOWER(Raw_Bookings!D248))="south","South","UNKNOWN"))))</f>
        <v/>
      </c>
      <c r="C247">
        <f>IFERROR(Raw_Bookings!H248*VLOOKUP(Raw_Bookings!I248,Rates!$A$2:$B$6,2,FALSE),Raw_Bookings!H248)</f>
        <v/>
      </c>
      <c r="D247">
        <f>IF(Raw_Bookings!F248="New License","NEW",IF(OR(Raw_Bookings!F248="Renewal",Raw_Bookings!F248="Support"),"RECURRING","OTHER"))</f>
        <v/>
      </c>
      <c r="E247">
        <f>IFERROR(VLOOKUP(Raw_Bookings!G248,Rep_Master!$A$2:$D$18,3,FALSE),"")</f>
        <v/>
      </c>
      <c r="F247">
        <f>IFERROR(VLOOKUP(E247,Rep_Targets!$A$2:$D$9,4,FALSE),0)</f>
        <v/>
      </c>
      <c r="G247">
        <f>IF(F247=0,"NO QUOTA FOUND",IF(C247&gt;=F247*0.25,"On Track","Behind"))</f>
        <v/>
      </c>
      <c r="H247">
        <f>C247*IF(B247="West",0.95,1)</f>
        <v/>
      </c>
    </row>
    <row r="248">
      <c r="A248">
        <f>Raw_Bookings!A249</f>
        <v/>
      </c>
      <c r="B248">
        <f>IF(TRIM(LOWER(Raw_Bookings!D249))="east","East",IF(TRIM(LOWER(Raw_Bookings!D249))="west","West",IF(TRIM(LOWER(Raw_Bookings!D249))="central","Central",IF(TRIM(LOWER(Raw_Bookings!D249))="south","South","UNKNOWN"))))</f>
        <v/>
      </c>
      <c r="C248">
        <f>IFERROR(Raw_Bookings!H249*VLOOKUP(Raw_Bookings!I249,Rates!$A$2:$B$6,2,FALSE),Raw_Bookings!H249)</f>
        <v/>
      </c>
      <c r="D248">
        <f>IF(Raw_Bookings!F249="New License","NEW",IF(OR(Raw_Bookings!F249="Renewal",Raw_Bookings!F249="Support"),"RECURRING","OTHER"))</f>
        <v/>
      </c>
      <c r="E248">
        <f>IFERROR(VLOOKUP(Raw_Bookings!G249,Rep_Master!$A$2:$D$18,3,FALSE),"")</f>
        <v/>
      </c>
      <c r="F248">
        <f>IFERROR(VLOOKUP(E248,Rep_Targets!$A$2:$D$9,4,FALSE),0)</f>
        <v/>
      </c>
      <c r="G248">
        <f>IF(F248=0,"NO QUOTA FOUND",IF(C248&gt;=F248*0.25,"On Track","Behind"))</f>
        <v/>
      </c>
      <c r="H248">
        <f>C248*IF(B248="West",0.95,1)</f>
        <v/>
      </c>
    </row>
    <row r="249">
      <c r="A249">
        <f>Raw_Bookings!A250</f>
        <v/>
      </c>
      <c r="B249">
        <f>IF(TRIM(LOWER(Raw_Bookings!D250))="east","East",IF(TRIM(LOWER(Raw_Bookings!D250))="west","West",IF(TRIM(LOWER(Raw_Bookings!D250))="central","Central",IF(TRIM(LOWER(Raw_Bookings!D250))="south","South","UNKNOWN"))))</f>
        <v/>
      </c>
      <c r="C249">
        <f>IFERROR(Raw_Bookings!H250*VLOOKUP(Raw_Bookings!I250,Rates!$A$2:$B$6,2,FALSE),Raw_Bookings!H250)</f>
        <v/>
      </c>
      <c r="D249">
        <f>IF(Raw_Bookings!F250="New License","NEW",IF(OR(Raw_Bookings!F250="Renewal",Raw_Bookings!F250="Support"),"RECURRING","OTHER"))</f>
        <v/>
      </c>
      <c r="E249">
        <f>IFERROR(VLOOKUP(Raw_Bookings!G250,Rep_Master!$A$2:$D$18,3,FALSE),"")</f>
        <v/>
      </c>
      <c r="F249">
        <f>IFERROR(VLOOKUP(E249,Rep_Targets!$A$2:$D$9,4,FALSE),0)</f>
        <v/>
      </c>
      <c r="G249">
        <f>IF(F249=0,"NO QUOTA FOUND",IF(C249&gt;=F249*0.25,"On Track","Behind"))</f>
        <v/>
      </c>
      <c r="H249">
        <f>C249*IF(B249="West",0.95,1)</f>
        <v/>
      </c>
    </row>
    <row r="250">
      <c r="A250">
        <f>Raw_Bookings!A251</f>
        <v/>
      </c>
      <c r="B250">
        <f>IF(TRIM(LOWER(Raw_Bookings!D251))="east","East",IF(TRIM(LOWER(Raw_Bookings!D251))="west","West",IF(TRIM(LOWER(Raw_Bookings!D251))="central","Central",IF(TRIM(LOWER(Raw_Bookings!D251))="south","South","UNKNOWN"))))</f>
        <v/>
      </c>
      <c r="C250">
        <f>IFERROR(Raw_Bookings!H251*VLOOKUP(Raw_Bookings!I251,Rates!$A$2:$B$6,2,FALSE),Raw_Bookings!H251)</f>
        <v/>
      </c>
      <c r="D250">
        <f>IF(Raw_Bookings!F251="New License","NEW",IF(OR(Raw_Bookings!F251="Renewal",Raw_Bookings!F251="Support"),"RECURRING","OTHER"))</f>
        <v/>
      </c>
      <c r="E250">
        <f>IFERROR(VLOOKUP(Raw_Bookings!G251,Rep_Master!$A$2:$D$18,3,FALSE),"")</f>
        <v/>
      </c>
      <c r="F250">
        <f>IFERROR(VLOOKUP(E250,Rep_Targets!$A$2:$D$9,4,FALSE),0)</f>
        <v/>
      </c>
      <c r="G250">
        <f>IF(F250=0,"NO QUOTA FOUND",IF(C250&gt;=F250*0.25,"On Track","Behind"))</f>
        <v/>
      </c>
      <c r="H250">
        <f>C250*IF(B250="West",0.95,1)</f>
        <v/>
      </c>
    </row>
    <row r="251">
      <c r="A251">
        <f>Raw_Bookings!A252</f>
        <v/>
      </c>
      <c r="B251">
        <f>IF(TRIM(LOWER(Raw_Bookings!D252))="east","East",IF(TRIM(LOWER(Raw_Bookings!D252))="west","West",IF(TRIM(LOWER(Raw_Bookings!D252))="central","Central",IF(TRIM(LOWER(Raw_Bookings!D252))="south","South","UNKNOWN"))))</f>
        <v/>
      </c>
      <c r="C251">
        <f>IFERROR(Raw_Bookings!H252*VLOOKUP(Raw_Bookings!I252,Rates!$A$2:$B$6,2,FALSE),Raw_Bookings!H252)</f>
        <v/>
      </c>
      <c r="D251">
        <f>IF(Raw_Bookings!F252="New License","NEW",IF(OR(Raw_Bookings!F252="Renewal",Raw_Bookings!F252="Support"),"RECURRING","OTHER"))</f>
        <v/>
      </c>
      <c r="E251">
        <f>IFERROR(VLOOKUP(Raw_Bookings!G252,Rep_Master!$A$2:$D$18,3,FALSE),"")</f>
        <v/>
      </c>
      <c r="F251">
        <f>IFERROR(VLOOKUP(E251,Rep_Targets!$A$2:$D$9,4,FALSE),0)</f>
        <v/>
      </c>
      <c r="G251">
        <f>IF(F251=0,"NO QUOTA FOUND",IF(C251&gt;=F251*0.25,"On Track","Behind"))</f>
        <v/>
      </c>
      <c r="H251">
        <f>C251*IF(B251="West",0.95,1)</f>
        <v/>
      </c>
    </row>
    <row r="252">
      <c r="A252">
        <f>Raw_Bookings!A253</f>
        <v/>
      </c>
      <c r="B252">
        <f>IF(TRIM(LOWER(Raw_Bookings!D253))="east","East",IF(TRIM(LOWER(Raw_Bookings!D253))="west","West",IF(TRIM(LOWER(Raw_Bookings!D253))="central","Central",IF(TRIM(LOWER(Raw_Bookings!D253))="south","South","UNKNOWN"))))</f>
        <v/>
      </c>
      <c r="C252">
        <f>IFERROR(Raw_Bookings!H253*VLOOKUP(Raw_Bookings!I253,Rates!$A$2:$B$6,2,FALSE),Raw_Bookings!H253)</f>
        <v/>
      </c>
      <c r="D252">
        <f>IF(Raw_Bookings!F253="New License","NEW",IF(OR(Raw_Bookings!F253="Renewal",Raw_Bookings!F253="Support"),"RECURRING","OTHER"))</f>
        <v/>
      </c>
      <c r="E252">
        <f>IFERROR(VLOOKUP(Raw_Bookings!G253,Rep_Master!$A$2:$D$18,3,FALSE),"")</f>
        <v/>
      </c>
      <c r="F252">
        <f>IFERROR(VLOOKUP(E252,Rep_Targets!$A$2:$D$9,4,FALSE),0)</f>
        <v/>
      </c>
      <c r="G252">
        <f>IF(F252=0,"NO QUOTA FOUND",IF(C252&gt;=F252*0.25,"On Track","Behind"))</f>
        <v/>
      </c>
      <c r="H252">
        <f>C252*IF(B252="West",0.95,1)</f>
        <v/>
      </c>
    </row>
    <row r="253">
      <c r="A253">
        <f>Raw_Bookings!A254</f>
        <v/>
      </c>
      <c r="B253">
        <f>IF(TRIM(LOWER(Raw_Bookings!D254))="east","East",IF(TRIM(LOWER(Raw_Bookings!D254))="west","West",IF(TRIM(LOWER(Raw_Bookings!D254))="central","Central",IF(TRIM(LOWER(Raw_Bookings!D254))="south","South","UNKNOWN"))))</f>
        <v/>
      </c>
      <c r="C253">
        <f>IFERROR(Raw_Bookings!H254*VLOOKUP(Raw_Bookings!I254,Rates!$A$2:$B$6,2,FALSE),Raw_Bookings!H254)</f>
        <v/>
      </c>
      <c r="D253">
        <f>IF(Raw_Bookings!F254="New License","NEW",IF(OR(Raw_Bookings!F254="Renewal",Raw_Bookings!F254="Support"),"RECURRING","OTHER"))</f>
        <v/>
      </c>
      <c r="E253">
        <f>IFERROR(VLOOKUP(Raw_Bookings!G254,Rep_Master!$A$2:$D$18,3,FALSE),"")</f>
        <v/>
      </c>
      <c r="F253">
        <f>IFERROR(VLOOKUP(E253,Rep_Targets!$A$2:$D$9,4,FALSE),0)</f>
        <v/>
      </c>
      <c r="G253">
        <f>IF(F253=0,"NO QUOTA FOUND",IF(C253&gt;=F253*0.25,"On Track","Behind"))</f>
        <v/>
      </c>
      <c r="H253">
        <f>C253*IF(B253="West",0.95,1)</f>
        <v/>
      </c>
    </row>
    <row r="254">
      <c r="A254">
        <f>Raw_Bookings!A255</f>
        <v/>
      </c>
      <c r="B254">
        <f>IF(TRIM(LOWER(Raw_Bookings!D255))="east","East",IF(TRIM(LOWER(Raw_Bookings!D255))="west","West",IF(TRIM(LOWER(Raw_Bookings!D255))="central","Central",IF(TRIM(LOWER(Raw_Bookings!D255))="south","South","UNKNOWN"))))</f>
        <v/>
      </c>
      <c r="C254">
        <f>IFERROR(Raw_Bookings!H255*VLOOKUP(Raw_Bookings!I255,Rates!$A$2:$B$6,2,FALSE),Raw_Bookings!H255)</f>
        <v/>
      </c>
      <c r="D254">
        <f>IF(Raw_Bookings!F255="New License","NEW",IF(OR(Raw_Bookings!F255="Renewal",Raw_Bookings!F255="Support"),"RECURRING","OTHER"))</f>
        <v/>
      </c>
      <c r="E254">
        <f>IFERROR(VLOOKUP(Raw_Bookings!G255,Rep_Master!$A$2:$D$18,3,FALSE),"")</f>
        <v/>
      </c>
      <c r="F254">
        <f>IFERROR(VLOOKUP(E254,Rep_Targets!$A$2:$D$9,4,FALSE),0)</f>
        <v/>
      </c>
      <c r="G254">
        <f>IF(F254=0,"NO QUOTA FOUND",IF(C254&gt;=F254*0.25,"On Track","Behind"))</f>
        <v/>
      </c>
      <c r="H254">
        <f>C254*IF(B254="West",0.95,1)</f>
        <v/>
      </c>
    </row>
    <row r="255">
      <c r="A255">
        <f>Raw_Bookings!A256</f>
        <v/>
      </c>
      <c r="B255">
        <f>IF(TRIM(LOWER(Raw_Bookings!D256))="east","East",IF(TRIM(LOWER(Raw_Bookings!D256))="west","West",IF(TRIM(LOWER(Raw_Bookings!D256))="central","Central",IF(TRIM(LOWER(Raw_Bookings!D256))="south","South","UNKNOWN"))))</f>
        <v/>
      </c>
      <c r="C255">
        <f>IFERROR(Raw_Bookings!H256*VLOOKUP(Raw_Bookings!I256,Rates!$A$2:$B$6,2,FALSE),Raw_Bookings!H256)</f>
        <v/>
      </c>
      <c r="D255">
        <f>IF(Raw_Bookings!F256="New License","NEW",IF(OR(Raw_Bookings!F256="Renewal",Raw_Bookings!F256="Support"),"RECURRING","OTHER"))</f>
        <v/>
      </c>
      <c r="E255">
        <f>IFERROR(VLOOKUP(Raw_Bookings!G256,Rep_Master!$A$2:$D$18,3,FALSE),"")</f>
        <v/>
      </c>
      <c r="F255">
        <f>IFERROR(VLOOKUP(E255,Rep_Targets!$A$2:$D$9,4,FALSE),0)</f>
        <v/>
      </c>
      <c r="G255">
        <f>IF(F255=0,"NO QUOTA FOUND",IF(C255&gt;=F255*0.25,"On Track","Behind"))</f>
        <v/>
      </c>
      <c r="H255">
        <f>C255*IF(B255="West",0.95,1)</f>
        <v/>
      </c>
    </row>
    <row r="256">
      <c r="A256">
        <f>Raw_Bookings!A257</f>
        <v/>
      </c>
      <c r="B256">
        <f>IF(TRIM(LOWER(Raw_Bookings!D257))="east","East",IF(TRIM(LOWER(Raw_Bookings!D257))="west","West",IF(TRIM(LOWER(Raw_Bookings!D257))="central","Central",IF(TRIM(LOWER(Raw_Bookings!D257))="south","South","UNKNOWN"))))</f>
        <v/>
      </c>
      <c r="C256">
        <f>IFERROR(Raw_Bookings!H257*VLOOKUP(Raw_Bookings!I257,Rates!$A$2:$B$6,2,FALSE),Raw_Bookings!H257)</f>
        <v/>
      </c>
      <c r="D256">
        <f>IF(Raw_Bookings!F257="New License","NEW",IF(OR(Raw_Bookings!F257="Renewal",Raw_Bookings!F257="Support"),"RECURRING","OTHER"))</f>
        <v/>
      </c>
      <c r="E256">
        <f>IFERROR(VLOOKUP(Raw_Bookings!G257,Rep_Master!$A$2:$D$18,3,FALSE),"")</f>
        <v/>
      </c>
      <c r="F256">
        <f>IFERROR(VLOOKUP(E256,Rep_Targets!$A$2:$D$9,4,FALSE),0)</f>
        <v/>
      </c>
      <c r="G256">
        <f>IF(F256=0,"NO QUOTA FOUND",IF(C256&gt;=F256*0.25,"On Track","Behind"))</f>
        <v/>
      </c>
      <c r="H256">
        <f>C256*IF(B256="West",0.95,1)</f>
        <v/>
      </c>
    </row>
    <row r="257">
      <c r="A257">
        <f>Raw_Bookings!A258</f>
        <v/>
      </c>
      <c r="B257">
        <f>IF(TRIM(LOWER(Raw_Bookings!D258))="east","East",IF(TRIM(LOWER(Raw_Bookings!D258))="west","West",IF(TRIM(LOWER(Raw_Bookings!D258))="central","Central",IF(TRIM(LOWER(Raw_Bookings!D258))="south","South","UNKNOWN"))))</f>
        <v/>
      </c>
      <c r="C257">
        <f>IFERROR(Raw_Bookings!H258*VLOOKUP(Raw_Bookings!I258,Rates!$A$2:$B$6,2,FALSE),Raw_Bookings!H258)</f>
        <v/>
      </c>
      <c r="D257">
        <f>IF(Raw_Bookings!F258="New License","NEW",IF(OR(Raw_Bookings!F258="Renewal",Raw_Bookings!F258="Support"),"RECURRING","OTHER"))</f>
        <v/>
      </c>
      <c r="E257">
        <f>IFERROR(VLOOKUP(Raw_Bookings!G258,Rep_Master!$A$2:$D$18,3,FALSE),"")</f>
        <v/>
      </c>
      <c r="F257">
        <f>IFERROR(VLOOKUP(E257,Rep_Targets!$A$2:$D$9,4,FALSE),0)</f>
        <v/>
      </c>
      <c r="G257">
        <f>IF(F257=0,"NO QUOTA FOUND",IF(C257&gt;=F257*0.25,"On Track","Behind"))</f>
        <v/>
      </c>
      <c r="H257">
        <f>C257*IF(B257="West",0.95,1)</f>
        <v/>
      </c>
    </row>
    <row r="258">
      <c r="A258">
        <f>Raw_Bookings!A259</f>
        <v/>
      </c>
      <c r="B258">
        <f>IF(TRIM(LOWER(Raw_Bookings!D259))="east","East",IF(TRIM(LOWER(Raw_Bookings!D259))="west","West",IF(TRIM(LOWER(Raw_Bookings!D259))="central","Central",IF(TRIM(LOWER(Raw_Bookings!D259))="south","South","UNKNOWN"))))</f>
        <v/>
      </c>
      <c r="C258">
        <f>IFERROR(Raw_Bookings!H259*VLOOKUP(Raw_Bookings!I259,Rates!$A$2:$B$6,2,FALSE),Raw_Bookings!H259)</f>
        <v/>
      </c>
      <c r="D258">
        <f>IF(Raw_Bookings!F259="New License","NEW",IF(OR(Raw_Bookings!F259="Renewal",Raw_Bookings!F259="Support"),"RECURRING","OTHER"))</f>
        <v/>
      </c>
      <c r="E258">
        <f>IFERROR(VLOOKUP(Raw_Bookings!G259,Rep_Master!$A$2:$D$18,3,FALSE),"")</f>
        <v/>
      </c>
      <c r="F258">
        <f>IFERROR(VLOOKUP(E258,Rep_Targets!$A$2:$D$9,4,FALSE),0)</f>
        <v/>
      </c>
      <c r="G258">
        <f>IF(F258=0,"NO QUOTA FOUND",IF(C258&gt;=F258*0.25,"On Track","Behind"))</f>
        <v/>
      </c>
      <c r="H258">
        <f>C258*IF(B258="West",0.95,1)</f>
        <v/>
      </c>
    </row>
    <row r="259">
      <c r="A259">
        <f>Raw_Bookings!A260</f>
        <v/>
      </c>
      <c r="B259">
        <f>IF(TRIM(LOWER(Raw_Bookings!D260))="east","East",IF(TRIM(LOWER(Raw_Bookings!D260))="west","West",IF(TRIM(LOWER(Raw_Bookings!D260))="central","Central",IF(TRIM(LOWER(Raw_Bookings!D260))="south","South","UNKNOWN"))))</f>
        <v/>
      </c>
      <c r="C259">
        <f>IFERROR(Raw_Bookings!H260*VLOOKUP(Raw_Bookings!I260,Rates!$A$2:$B$6,2,FALSE),Raw_Bookings!H260)</f>
        <v/>
      </c>
      <c r="D259">
        <f>IF(Raw_Bookings!F260="New License","NEW",IF(OR(Raw_Bookings!F260="Renewal",Raw_Bookings!F260="Support"),"RECURRING","OTHER"))</f>
        <v/>
      </c>
      <c r="E259">
        <f>IFERROR(VLOOKUP(Raw_Bookings!G260,Rep_Master!$A$2:$D$18,3,FALSE),"")</f>
        <v/>
      </c>
      <c r="F259">
        <f>IFERROR(VLOOKUP(E259,Rep_Targets!$A$2:$D$9,4,FALSE),0)</f>
        <v/>
      </c>
      <c r="G259">
        <f>IF(F259=0,"NO QUOTA FOUND",IF(C259&gt;=F259*0.25,"On Track","Behind"))</f>
        <v/>
      </c>
      <c r="H259">
        <f>C259*IF(B259="West",0.95,1)</f>
        <v/>
      </c>
    </row>
    <row r="260">
      <c r="A260">
        <f>Raw_Bookings!A261</f>
        <v/>
      </c>
      <c r="B260">
        <f>IF(TRIM(LOWER(Raw_Bookings!D261))="east","East",IF(TRIM(LOWER(Raw_Bookings!D261))="west","West",IF(TRIM(LOWER(Raw_Bookings!D261))="central","Central",IF(TRIM(LOWER(Raw_Bookings!D261))="south","South","UNKNOWN"))))</f>
        <v/>
      </c>
      <c r="C260">
        <f>IFERROR(Raw_Bookings!H261*VLOOKUP(Raw_Bookings!I261,Rates!$A$2:$B$6,2,FALSE),Raw_Bookings!H261)</f>
        <v/>
      </c>
      <c r="D260">
        <f>IF(Raw_Bookings!F261="New License","NEW",IF(OR(Raw_Bookings!F261="Renewal",Raw_Bookings!F261="Support"),"RECURRING","OTHER"))</f>
        <v/>
      </c>
      <c r="E260">
        <f>IFERROR(VLOOKUP(Raw_Bookings!G261,Rep_Master!$A$2:$D$18,3,FALSE),"")</f>
        <v/>
      </c>
      <c r="F260">
        <f>IFERROR(VLOOKUP(E260,Rep_Targets!$A$2:$D$9,4,FALSE),0)</f>
        <v/>
      </c>
      <c r="G260">
        <f>IF(F260=0,"NO QUOTA FOUND",IF(C260&gt;=F260*0.25,"On Track","Behind"))</f>
        <v/>
      </c>
      <c r="H260">
        <f>C260*IF(B260="West",0.95,1)</f>
        <v/>
      </c>
    </row>
    <row r="261">
      <c r="A261">
        <f>Raw_Bookings!A262</f>
        <v/>
      </c>
      <c r="B261">
        <f>IF(TRIM(LOWER(Raw_Bookings!D262))="east","East",IF(TRIM(LOWER(Raw_Bookings!D262))="west","West",IF(TRIM(LOWER(Raw_Bookings!D262))="central","Central",IF(TRIM(LOWER(Raw_Bookings!D262))="south","South","UNKNOWN"))))</f>
        <v/>
      </c>
      <c r="C261">
        <f>IFERROR(Raw_Bookings!H262*VLOOKUP(Raw_Bookings!I262,Rates!$A$2:$B$6,2,FALSE),Raw_Bookings!H262)</f>
        <v/>
      </c>
      <c r="D261">
        <f>IF(Raw_Bookings!F262="New License","NEW",IF(OR(Raw_Bookings!F262="Renewal",Raw_Bookings!F262="Support"),"RECURRING","OTHER"))</f>
        <v/>
      </c>
      <c r="E261">
        <f>IFERROR(VLOOKUP(Raw_Bookings!G262,Rep_Master!$A$2:$D$18,3,FALSE),"")</f>
        <v/>
      </c>
      <c r="F261">
        <f>IFERROR(VLOOKUP(E261,Rep_Targets!$A$2:$D$9,4,FALSE),0)</f>
        <v/>
      </c>
      <c r="G261">
        <f>IF(F261=0,"NO QUOTA FOUND",IF(C261&gt;=F261*0.25,"On Track","Behind"))</f>
        <v/>
      </c>
      <c r="H261">
        <f>C261*IF(B261="West",0.95,1)</f>
        <v/>
      </c>
    </row>
    <row r="262">
      <c r="A262">
        <f>Raw_Bookings!A263</f>
        <v/>
      </c>
      <c r="B262">
        <f>IF(TRIM(LOWER(Raw_Bookings!D263))="east","East",IF(TRIM(LOWER(Raw_Bookings!D263))="west","West",IF(TRIM(LOWER(Raw_Bookings!D263))="central","Central",IF(TRIM(LOWER(Raw_Bookings!D263))="south","South","UNKNOWN"))))</f>
        <v/>
      </c>
      <c r="C262">
        <f>IFERROR(Raw_Bookings!H263*VLOOKUP(Raw_Bookings!I263,Rates!$A$2:$B$6,2,FALSE),Raw_Bookings!H263)</f>
        <v/>
      </c>
      <c r="D262">
        <f>IF(Raw_Bookings!F263="New License","NEW",IF(OR(Raw_Bookings!F263="Renewal",Raw_Bookings!F263="Support"),"RECURRING","OTHER"))</f>
        <v/>
      </c>
      <c r="E262">
        <f>IFERROR(VLOOKUP(Raw_Bookings!G263,Rep_Master!$A$2:$D$18,3,FALSE),"")</f>
        <v/>
      </c>
      <c r="F262">
        <f>IFERROR(VLOOKUP(E262,Rep_Targets!$A$2:$D$9,4,FALSE),0)</f>
        <v/>
      </c>
      <c r="G262">
        <f>IF(F262=0,"NO QUOTA FOUND",IF(C262&gt;=F262*0.25,"On Track","Behind"))</f>
        <v/>
      </c>
      <c r="H262">
        <f>C262*IF(B262="West",0.95,1)</f>
        <v/>
      </c>
    </row>
    <row r="263">
      <c r="A263">
        <f>Raw_Bookings!A264</f>
        <v/>
      </c>
      <c r="B263">
        <f>IF(TRIM(LOWER(Raw_Bookings!D264))="east","East",IF(TRIM(LOWER(Raw_Bookings!D264))="west","West",IF(TRIM(LOWER(Raw_Bookings!D264))="central","Central",IF(TRIM(LOWER(Raw_Bookings!D264))="south","South","UNKNOWN"))))</f>
        <v/>
      </c>
      <c r="C263">
        <f>IFERROR(Raw_Bookings!H264*VLOOKUP(Raw_Bookings!I264,Rates!$A$2:$B$6,2,FALSE),Raw_Bookings!H264)</f>
        <v/>
      </c>
      <c r="D263">
        <f>IF(Raw_Bookings!F264="New License","NEW",IF(OR(Raw_Bookings!F264="Renewal",Raw_Bookings!F264="Support"),"RECURRING","OTHER"))</f>
        <v/>
      </c>
      <c r="E263">
        <f>IFERROR(VLOOKUP(Raw_Bookings!G264,Rep_Master!$A$2:$D$18,3,FALSE),"")</f>
        <v/>
      </c>
      <c r="F263">
        <f>IFERROR(VLOOKUP(E263,Rep_Targets!$A$2:$D$9,4,FALSE),0)</f>
        <v/>
      </c>
      <c r="G263">
        <f>IF(F263=0,"NO QUOTA FOUND",IF(C263&gt;=F263*0.25,"On Track","Behind"))</f>
        <v/>
      </c>
      <c r="H263">
        <f>C263*IF(B263="West",0.95,1)</f>
        <v/>
      </c>
    </row>
    <row r="264">
      <c r="A264">
        <f>Raw_Bookings!A265</f>
        <v/>
      </c>
      <c r="B264">
        <f>IF(TRIM(LOWER(Raw_Bookings!D265))="east","East",IF(TRIM(LOWER(Raw_Bookings!D265))="west","West",IF(TRIM(LOWER(Raw_Bookings!D265))="central","Central",IF(TRIM(LOWER(Raw_Bookings!D265))="south","South","UNKNOWN"))))</f>
        <v/>
      </c>
      <c r="C264">
        <f>IFERROR(Raw_Bookings!H265*VLOOKUP(Raw_Bookings!I265,Rates!$A$2:$B$6,2,FALSE),Raw_Bookings!H265)</f>
        <v/>
      </c>
      <c r="D264">
        <f>IF(Raw_Bookings!F265="New License","NEW",IF(OR(Raw_Bookings!F265="Renewal",Raw_Bookings!F265="Support"),"RECURRING","OTHER"))</f>
        <v/>
      </c>
      <c r="E264">
        <f>IFERROR(VLOOKUP(Raw_Bookings!G265,Rep_Master!$A$2:$D$18,3,FALSE),"")</f>
        <v/>
      </c>
      <c r="F264">
        <f>IFERROR(VLOOKUP(E264,Rep_Targets!$A$2:$D$9,4,FALSE),0)</f>
        <v/>
      </c>
      <c r="G264">
        <f>IF(F264=0,"NO QUOTA FOUND",IF(C264&gt;=F264*0.25,"On Track","Behind"))</f>
        <v/>
      </c>
      <c r="H264">
        <f>C264*IF(B264="West",0.95,1)</f>
        <v/>
      </c>
    </row>
    <row r="265">
      <c r="A265">
        <f>Raw_Bookings!A266</f>
        <v/>
      </c>
      <c r="B265">
        <f>IF(TRIM(LOWER(Raw_Bookings!D266))="east","East",IF(TRIM(LOWER(Raw_Bookings!D266))="west","West",IF(TRIM(LOWER(Raw_Bookings!D266))="central","Central",IF(TRIM(LOWER(Raw_Bookings!D266))="south","South","UNKNOWN"))))</f>
        <v/>
      </c>
      <c r="C265">
        <f>IFERROR(Raw_Bookings!H266*VLOOKUP(Raw_Bookings!I266,Rates!$A$2:$B$6,2,FALSE),Raw_Bookings!H266)</f>
        <v/>
      </c>
      <c r="D265">
        <f>IF(Raw_Bookings!F266="New License","NEW",IF(OR(Raw_Bookings!F266="Renewal",Raw_Bookings!F266="Support"),"RECURRING","OTHER"))</f>
        <v/>
      </c>
      <c r="E265">
        <f>IFERROR(VLOOKUP(Raw_Bookings!G266,Rep_Master!$A$2:$D$18,3,FALSE),"")</f>
        <v/>
      </c>
      <c r="F265">
        <f>IFERROR(VLOOKUP(E265,Rep_Targets!$A$2:$D$9,4,FALSE),0)</f>
        <v/>
      </c>
      <c r="G265">
        <f>IF(F265=0,"NO QUOTA FOUND",IF(C265&gt;=F265*0.25,"On Track","Behind"))</f>
        <v/>
      </c>
      <c r="H265">
        <f>C265*IF(B265="West",0.95,1)</f>
        <v/>
      </c>
    </row>
    <row r="266">
      <c r="A266">
        <f>Raw_Bookings!A267</f>
        <v/>
      </c>
      <c r="B266">
        <f>IF(TRIM(LOWER(Raw_Bookings!D267))="east","East",IF(TRIM(LOWER(Raw_Bookings!D267))="west","West",IF(TRIM(LOWER(Raw_Bookings!D267))="central","Central",IF(TRIM(LOWER(Raw_Bookings!D267))="south","South","UNKNOWN"))))</f>
        <v/>
      </c>
      <c r="C266">
        <f>IFERROR(Raw_Bookings!H267*VLOOKUP(Raw_Bookings!I267,Rates!$A$2:$B$6,2,FALSE),Raw_Bookings!H267)</f>
        <v/>
      </c>
      <c r="D266">
        <f>IF(Raw_Bookings!F267="New License","NEW",IF(OR(Raw_Bookings!F267="Renewal",Raw_Bookings!F267="Support"),"RECURRING","OTHER"))</f>
        <v/>
      </c>
      <c r="E266">
        <f>IFERROR(VLOOKUP(Raw_Bookings!G267,Rep_Master!$A$2:$D$18,3,FALSE),"")</f>
        <v/>
      </c>
      <c r="F266">
        <f>IFERROR(VLOOKUP(E266,Rep_Targets!$A$2:$D$9,4,FALSE),0)</f>
        <v/>
      </c>
      <c r="G266">
        <f>IF(F266=0,"NO QUOTA FOUND",IF(C266&gt;=F266*0.25,"On Track","Behind"))</f>
        <v/>
      </c>
      <c r="H266">
        <f>C266*IF(B266="West",0.95,1)</f>
        <v/>
      </c>
    </row>
    <row r="267">
      <c r="A267">
        <f>Raw_Bookings!A268</f>
        <v/>
      </c>
      <c r="B267">
        <f>IF(TRIM(LOWER(Raw_Bookings!D268))="east","East",IF(TRIM(LOWER(Raw_Bookings!D268))="west","West",IF(TRIM(LOWER(Raw_Bookings!D268))="central","Central",IF(TRIM(LOWER(Raw_Bookings!D268))="south","South","UNKNOWN"))))</f>
        <v/>
      </c>
      <c r="C267">
        <f>IFERROR(Raw_Bookings!H268*VLOOKUP(Raw_Bookings!I268,Rates!$A$2:$B$6,2,FALSE),Raw_Bookings!H268)</f>
        <v/>
      </c>
      <c r="D267">
        <f>IF(Raw_Bookings!F268="New License","NEW",IF(OR(Raw_Bookings!F268="Renewal",Raw_Bookings!F268="Support"),"RECURRING","OTHER"))</f>
        <v/>
      </c>
      <c r="E267">
        <f>IFERROR(VLOOKUP(Raw_Bookings!G268,Rep_Master!$A$2:$D$18,3,FALSE),"")</f>
        <v/>
      </c>
      <c r="F267">
        <f>IFERROR(VLOOKUP(E267,Rep_Targets!$A$2:$D$9,4,FALSE),0)</f>
        <v/>
      </c>
      <c r="G267">
        <f>IF(F267=0,"NO QUOTA FOUND",IF(C267&gt;=F267*0.25,"On Track","Behind"))</f>
        <v/>
      </c>
      <c r="H267">
        <f>C267*IF(B267="West",0.95,1)</f>
        <v/>
      </c>
    </row>
    <row r="268">
      <c r="A268">
        <f>Raw_Bookings!A269</f>
        <v/>
      </c>
      <c r="B268">
        <f>IF(TRIM(LOWER(Raw_Bookings!D269))="east","East",IF(TRIM(LOWER(Raw_Bookings!D269))="west","West",IF(TRIM(LOWER(Raw_Bookings!D269))="central","Central",IF(TRIM(LOWER(Raw_Bookings!D269))="south","South","UNKNOWN"))))</f>
        <v/>
      </c>
      <c r="C268">
        <f>IFERROR(Raw_Bookings!H269*VLOOKUP(Raw_Bookings!I269,Rates!$A$2:$B$6,2,FALSE),Raw_Bookings!H269)</f>
        <v/>
      </c>
      <c r="D268">
        <f>IF(Raw_Bookings!F269="New License","NEW",IF(OR(Raw_Bookings!F269="Renewal",Raw_Bookings!F269="Support"),"RECURRING","OTHER"))</f>
        <v/>
      </c>
      <c r="E268">
        <f>IFERROR(VLOOKUP(Raw_Bookings!G269,Rep_Master!$A$2:$D$18,3,FALSE),"")</f>
        <v/>
      </c>
      <c r="F268">
        <f>IFERROR(VLOOKUP(E268,Rep_Targets!$A$2:$D$9,4,FALSE),0)</f>
        <v/>
      </c>
      <c r="G268">
        <f>IF(F268=0,"NO QUOTA FOUND",IF(C268&gt;=F268*0.25,"On Track","Behind"))</f>
        <v/>
      </c>
      <c r="H268">
        <f>C268*IF(B268="West",0.95,1)</f>
        <v/>
      </c>
    </row>
    <row r="269">
      <c r="A269">
        <f>Raw_Bookings!A270</f>
        <v/>
      </c>
      <c r="B269">
        <f>IF(TRIM(LOWER(Raw_Bookings!D270))="east","East",IF(TRIM(LOWER(Raw_Bookings!D270))="west","West",IF(TRIM(LOWER(Raw_Bookings!D270))="central","Central",IF(TRIM(LOWER(Raw_Bookings!D270))="south","South","UNKNOWN"))))</f>
        <v/>
      </c>
      <c r="C269">
        <f>IFERROR(Raw_Bookings!H270*VLOOKUP(Raw_Bookings!I270,Rates!$A$2:$B$6,2,FALSE),Raw_Bookings!H270)</f>
        <v/>
      </c>
      <c r="D269">
        <f>IF(Raw_Bookings!F270="New License","NEW",IF(OR(Raw_Bookings!F270="Renewal",Raw_Bookings!F270="Support"),"RECURRING","OTHER"))</f>
        <v/>
      </c>
      <c r="E269">
        <f>IFERROR(VLOOKUP(Raw_Bookings!G270,Rep_Master!$A$2:$D$18,3,FALSE),"")</f>
        <v/>
      </c>
      <c r="F269">
        <f>IFERROR(VLOOKUP(E269,Rep_Targets!$A$2:$D$9,4,FALSE),0)</f>
        <v/>
      </c>
      <c r="G269">
        <f>IF(F269=0,"NO QUOTA FOUND",IF(C269&gt;=F269*0.25,"On Track","Behind"))</f>
        <v/>
      </c>
      <c r="H269">
        <f>C269*IF(B269="West",0.95,1)</f>
        <v/>
      </c>
    </row>
    <row r="270">
      <c r="A270">
        <f>Raw_Bookings!A271</f>
        <v/>
      </c>
      <c r="B270">
        <f>IF(TRIM(LOWER(Raw_Bookings!D271))="east","East",IF(TRIM(LOWER(Raw_Bookings!D271))="west","West",IF(TRIM(LOWER(Raw_Bookings!D271))="central","Central",IF(TRIM(LOWER(Raw_Bookings!D271))="south","South","UNKNOWN"))))</f>
        <v/>
      </c>
      <c r="C270">
        <f>IFERROR(Raw_Bookings!H271*VLOOKUP(Raw_Bookings!I271,Rates!$A$2:$B$6,2,FALSE),Raw_Bookings!H271)</f>
        <v/>
      </c>
      <c r="D270">
        <f>IF(Raw_Bookings!F271="New License","NEW",IF(OR(Raw_Bookings!F271="Renewal",Raw_Bookings!F271="Support"),"RECURRING","OTHER"))</f>
        <v/>
      </c>
      <c r="E270">
        <f>IFERROR(VLOOKUP(Raw_Bookings!G271,Rep_Master!$A$2:$D$18,3,FALSE),"")</f>
        <v/>
      </c>
      <c r="F270">
        <f>IFERROR(VLOOKUP(E270,Rep_Targets!$A$2:$D$9,4,FALSE),0)</f>
        <v/>
      </c>
      <c r="G270">
        <f>IF(F270=0,"NO QUOTA FOUND",IF(C270&gt;=F270*0.25,"On Track","Behind"))</f>
        <v/>
      </c>
      <c r="H270">
        <f>C270*IF(B270="West",0.95,1)</f>
        <v/>
      </c>
    </row>
    <row r="271">
      <c r="A271">
        <f>Raw_Bookings!A272</f>
        <v/>
      </c>
      <c r="B271">
        <f>IF(TRIM(LOWER(Raw_Bookings!D272))="east","East",IF(TRIM(LOWER(Raw_Bookings!D272))="west","West",IF(TRIM(LOWER(Raw_Bookings!D272))="central","Central",IF(TRIM(LOWER(Raw_Bookings!D272))="south","South","UNKNOWN"))))</f>
        <v/>
      </c>
      <c r="C271">
        <f>IFERROR(Raw_Bookings!H272*VLOOKUP(Raw_Bookings!I272,Rates!$A$2:$B$6,2,FALSE),Raw_Bookings!H272)</f>
        <v/>
      </c>
      <c r="D271">
        <f>IF(Raw_Bookings!F272="New License","NEW",IF(OR(Raw_Bookings!F272="Renewal",Raw_Bookings!F272="Support"),"RECURRING","OTHER"))</f>
        <v/>
      </c>
      <c r="E271">
        <f>IFERROR(VLOOKUP(Raw_Bookings!G272,Rep_Master!$A$2:$D$18,3,FALSE),"")</f>
        <v/>
      </c>
      <c r="F271">
        <f>IFERROR(VLOOKUP(E271,Rep_Targets!$A$2:$D$9,4,FALSE),0)</f>
        <v/>
      </c>
      <c r="G271">
        <f>IF(F271=0,"NO QUOTA FOUND",IF(C271&gt;=F271*0.25,"On Track","Behind"))</f>
        <v/>
      </c>
      <c r="H271">
        <f>C271*IF(B271="West",0.95,1)</f>
        <v/>
      </c>
    </row>
    <row r="272">
      <c r="A272">
        <f>Raw_Bookings!A273</f>
        <v/>
      </c>
      <c r="B272">
        <f>IF(TRIM(LOWER(Raw_Bookings!D273))="east","East",IF(TRIM(LOWER(Raw_Bookings!D273))="west","West",IF(TRIM(LOWER(Raw_Bookings!D273))="central","Central",IF(TRIM(LOWER(Raw_Bookings!D273))="south","South","UNKNOWN"))))</f>
        <v/>
      </c>
      <c r="C272">
        <f>IFERROR(Raw_Bookings!H273*VLOOKUP(Raw_Bookings!I273,Rates!$A$2:$B$6,2,FALSE),Raw_Bookings!H273)</f>
        <v/>
      </c>
      <c r="D272">
        <f>IF(Raw_Bookings!F273="New License","NEW",IF(OR(Raw_Bookings!F273="Renewal",Raw_Bookings!F273="Support"),"RECURRING","OTHER"))</f>
        <v/>
      </c>
      <c r="E272">
        <f>IFERROR(VLOOKUP(Raw_Bookings!G273,Rep_Master!$A$2:$D$18,3,FALSE),"")</f>
        <v/>
      </c>
      <c r="F272">
        <f>IFERROR(VLOOKUP(E272,Rep_Targets!$A$2:$D$9,4,FALSE),0)</f>
        <v/>
      </c>
      <c r="G272">
        <f>IF(F272=0,"NO QUOTA FOUND",IF(C272&gt;=F272*0.25,"On Track","Behind"))</f>
        <v/>
      </c>
      <c r="H272">
        <f>C272*IF(B272="West",0.95,1)</f>
        <v/>
      </c>
    </row>
    <row r="273">
      <c r="A273">
        <f>Raw_Bookings!A274</f>
        <v/>
      </c>
      <c r="B273">
        <f>IF(TRIM(LOWER(Raw_Bookings!D274))="east","East",IF(TRIM(LOWER(Raw_Bookings!D274))="west","West",IF(TRIM(LOWER(Raw_Bookings!D274))="central","Central",IF(TRIM(LOWER(Raw_Bookings!D274))="south","South","UNKNOWN"))))</f>
        <v/>
      </c>
      <c r="C273">
        <f>IFERROR(Raw_Bookings!H274*VLOOKUP(Raw_Bookings!I274,Rates!$A$2:$B$6,2,FALSE),Raw_Bookings!H274)</f>
        <v/>
      </c>
      <c r="D273">
        <f>IF(Raw_Bookings!F274="New License","NEW",IF(OR(Raw_Bookings!F274="Renewal",Raw_Bookings!F274="Support"),"RECURRING","OTHER"))</f>
        <v/>
      </c>
      <c r="E273">
        <f>IFERROR(VLOOKUP(Raw_Bookings!G274,Rep_Master!$A$2:$D$18,3,FALSE),"")</f>
        <v/>
      </c>
      <c r="F273">
        <f>IFERROR(VLOOKUP(E273,Rep_Targets!$A$2:$D$9,4,FALSE),0)</f>
        <v/>
      </c>
      <c r="G273">
        <f>IF(F273=0,"NO QUOTA FOUND",IF(C273&gt;=F273*0.25,"On Track","Behind"))</f>
        <v/>
      </c>
      <c r="H273">
        <f>C273*IF(B273="West",0.95,1)</f>
        <v/>
      </c>
    </row>
    <row r="274">
      <c r="A274">
        <f>Raw_Bookings!A275</f>
        <v/>
      </c>
      <c r="B274">
        <f>IF(TRIM(LOWER(Raw_Bookings!D275))="east","East",IF(TRIM(LOWER(Raw_Bookings!D275))="west","West",IF(TRIM(LOWER(Raw_Bookings!D275))="central","Central",IF(TRIM(LOWER(Raw_Bookings!D275))="south","South","UNKNOWN"))))</f>
        <v/>
      </c>
      <c r="C274">
        <f>IFERROR(Raw_Bookings!H275*VLOOKUP(Raw_Bookings!I275,Rates!$A$2:$B$6,2,FALSE),Raw_Bookings!H275)</f>
        <v/>
      </c>
      <c r="D274">
        <f>IF(Raw_Bookings!F275="New License","NEW",IF(OR(Raw_Bookings!F275="Renewal",Raw_Bookings!F275="Support"),"RECURRING","OTHER"))</f>
        <v/>
      </c>
      <c r="E274">
        <f>IFERROR(VLOOKUP(Raw_Bookings!G275,Rep_Master!$A$2:$D$18,3,FALSE),"")</f>
        <v/>
      </c>
      <c r="F274">
        <f>IFERROR(VLOOKUP(E274,Rep_Targets!$A$2:$D$9,4,FALSE),0)</f>
        <v/>
      </c>
      <c r="G274">
        <f>IF(F274=0,"NO QUOTA FOUND",IF(C274&gt;=F274*0.25,"On Track","Behind"))</f>
        <v/>
      </c>
      <c r="H274">
        <f>C274*IF(B274="West",0.95,1)</f>
        <v/>
      </c>
    </row>
    <row r="275">
      <c r="A275">
        <f>Raw_Bookings!A276</f>
        <v/>
      </c>
      <c r="B275">
        <f>IF(TRIM(LOWER(Raw_Bookings!D276))="east","East",IF(TRIM(LOWER(Raw_Bookings!D276))="west","West",IF(TRIM(LOWER(Raw_Bookings!D276))="central","Central",IF(TRIM(LOWER(Raw_Bookings!D276))="south","South","UNKNOWN"))))</f>
        <v/>
      </c>
      <c r="C275">
        <f>IFERROR(Raw_Bookings!H276*VLOOKUP(Raw_Bookings!I276,Rates!$A$2:$B$6,2,FALSE),Raw_Bookings!H276)</f>
        <v/>
      </c>
      <c r="D275">
        <f>IF(Raw_Bookings!F276="New License","NEW",IF(OR(Raw_Bookings!F276="Renewal",Raw_Bookings!F276="Support"),"RECURRING","OTHER"))</f>
        <v/>
      </c>
      <c r="E275">
        <f>IFERROR(VLOOKUP(Raw_Bookings!G276,Rep_Master!$A$2:$D$18,3,FALSE),"")</f>
        <v/>
      </c>
      <c r="F275">
        <f>IFERROR(VLOOKUP(E275,Rep_Targets!$A$2:$D$9,4,FALSE),0)</f>
        <v/>
      </c>
      <c r="G275">
        <f>IF(F275=0,"NO QUOTA FOUND",IF(C275&gt;=F275*0.25,"On Track","Behind"))</f>
        <v/>
      </c>
      <c r="H275">
        <f>C275*IF(B275="West",0.95,1)</f>
        <v/>
      </c>
    </row>
    <row r="276">
      <c r="A276">
        <f>Raw_Bookings!A277</f>
        <v/>
      </c>
      <c r="B276">
        <f>IF(TRIM(LOWER(Raw_Bookings!D277))="east","East",IF(TRIM(LOWER(Raw_Bookings!D277))="west","West",IF(TRIM(LOWER(Raw_Bookings!D277))="central","Central",IF(TRIM(LOWER(Raw_Bookings!D277))="south","South","UNKNOWN"))))</f>
        <v/>
      </c>
      <c r="C276">
        <f>IFERROR(Raw_Bookings!H277*VLOOKUP(Raw_Bookings!I277,Rates!$A$2:$B$6,2,FALSE),Raw_Bookings!H277)</f>
        <v/>
      </c>
      <c r="D276">
        <f>IF(Raw_Bookings!F277="New License","NEW",IF(OR(Raw_Bookings!F277="Renewal",Raw_Bookings!F277="Support"),"RECURRING","OTHER"))</f>
        <v/>
      </c>
      <c r="E276">
        <f>IFERROR(VLOOKUP(Raw_Bookings!G277,Rep_Master!$A$2:$D$18,3,FALSE),"")</f>
        <v/>
      </c>
      <c r="F276">
        <f>IFERROR(VLOOKUP(E276,Rep_Targets!$A$2:$D$9,4,FALSE),0)</f>
        <v/>
      </c>
      <c r="G276">
        <f>IF(F276=0,"NO QUOTA FOUND",IF(C276&gt;=F276*0.25,"On Track","Behind"))</f>
        <v/>
      </c>
      <c r="H276">
        <f>C276*IF(B276="West",0.95,1)</f>
        <v/>
      </c>
    </row>
    <row r="277">
      <c r="A277">
        <f>Raw_Bookings!A278</f>
        <v/>
      </c>
      <c r="B277">
        <f>IF(TRIM(LOWER(Raw_Bookings!D278))="east","East",IF(TRIM(LOWER(Raw_Bookings!D278))="west","West",IF(TRIM(LOWER(Raw_Bookings!D278))="central","Central",IF(TRIM(LOWER(Raw_Bookings!D278))="south","South","UNKNOWN"))))</f>
        <v/>
      </c>
      <c r="C277">
        <f>IFERROR(Raw_Bookings!H278*VLOOKUP(Raw_Bookings!I278,Rates!$A$2:$B$6,2,FALSE),Raw_Bookings!H278)</f>
        <v/>
      </c>
      <c r="D277">
        <f>IF(Raw_Bookings!F278="New License","NEW",IF(OR(Raw_Bookings!F278="Renewal",Raw_Bookings!F278="Support"),"RECURRING","OTHER"))</f>
        <v/>
      </c>
      <c r="E277">
        <f>IFERROR(VLOOKUP(Raw_Bookings!G278,Rep_Master!$A$2:$D$18,3,FALSE),"")</f>
        <v/>
      </c>
      <c r="F277">
        <f>IFERROR(VLOOKUP(E277,Rep_Targets!$A$2:$D$9,4,FALSE),0)</f>
        <v/>
      </c>
      <c r="G277">
        <f>IF(F277=0,"NO QUOTA FOUND",IF(C277&gt;=F277*0.25,"On Track","Behind"))</f>
        <v/>
      </c>
      <c r="H277">
        <f>C277*IF(B277="West",0.95,1)</f>
        <v/>
      </c>
    </row>
    <row r="278">
      <c r="A278">
        <f>Raw_Bookings!A279</f>
        <v/>
      </c>
      <c r="B278">
        <f>IF(TRIM(LOWER(Raw_Bookings!D279))="east","East",IF(TRIM(LOWER(Raw_Bookings!D279))="west","West",IF(TRIM(LOWER(Raw_Bookings!D279))="central","Central",IF(TRIM(LOWER(Raw_Bookings!D279))="south","South","UNKNOWN"))))</f>
        <v/>
      </c>
      <c r="C278">
        <f>IFERROR(Raw_Bookings!H279*VLOOKUP(Raw_Bookings!I279,Rates!$A$2:$B$6,2,FALSE),Raw_Bookings!H279)</f>
        <v/>
      </c>
      <c r="D278">
        <f>IF(Raw_Bookings!F279="New License","NEW",IF(OR(Raw_Bookings!F279="Renewal",Raw_Bookings!F279="Support"),"RECURRING","OTHER"))</f>
        <v/>
      </c>
      <c r="E278">
        <f>IFERROR(VLOOKUP(Raw_Bookings!G279,Rep_Master!$A$2:$D$18,3,FALSE),"")</f>
        <v/>
      </c>
      <c r="F278">
        <f>IFERROR(VLOOKUP(E278,Rep_Targets!$A$2:$D$9,4,FALSE),0)</f>
        <v/>
      </c>
      <c r="G278">
        <f>IF(F278=0,"NO QUOTA FOUND",IF(C278&gt;=F278*0.25,"On Track","Behind"))</f>
        <v/>
      </c>
      <c r="H278">
        <f>C278*IF(B278="West",0.95,1)</f>
        <v/>
      </c>
    </row>
    <row r="279">
      <c r="A279">
        <f>Raw_Bookings!A280</f>
        <v/>
      </c>
      <c r="B279">
        <f>IF(TRIM(LOWER(Raw_Bookings!D280))="east","East",IF(TRIM(LOWER(Raw_Bookings!D280))="west","West",IF(TRIM(LOWER(Raw_Bookings!D280))="central","Central",IF(TRIM(LOWER(Raw_Bookings!D280))="south","South","UNKNOWN"))))</f>
        <v/>
      </c>
      <c r="C279">
        <f>IFERROR(Raw_Bookings!H280*VLOOKUP(Raw_Bookings!I280,Rates!$A$2:$B$6,2,FALSE),Raw_Bookings!H280)</f>
        <v/>
      </c>
      <c r="D279">
        <f>IF(Raw_Bookings!F280="New License","NEW",IF(OR(Raw_Bookings!F280="Renewal",Raw_Bookings!F280="Support"),"RECURRING","OTHER"))</f>
        <v/>
      </c>
      <c r="E279">
        <f>IFERROR(VLOOKUP(Raw_Bookings!G280,Rep_Master!$A$2:$D$18,3,FALSE),"")</f>
        <v/>
      </c>
      <c r="F279">
        <f>IFERROR(VLOOKUP(E279,Rep_Targets!$A$2:$D$9,4,FALSE),0)</f>
        <v/>
      </c>
      <c r="G279">
        <f>IF(F279=0,"NO QUOTA FOUND",IF(C279&gt;=F279*0.25,"On Track","Behind"))</f>
        <v/>
      </c>
      <c r="H279">
        <f>C279*IF(B279="West",0.95,1)</f>
        <v/>
      </c>
    </row>
    <row r="280">
      <c r="A280">
        <f>Raw_Bookings!A281</f>
        <v/>
      </c>
      <c r="B280">
        <f>IF(TRIM(LOWER(Raw_Bookings!D281))="east","East",IF(TRIM(LOWER(Raw_Bookings!D281))="west","West",IF(TRIM(LOWER(Raw_Bookings!D281))="central","Central",IF(TRIM(LOWER(Raw_Bookings!D281))="south","South","UNKNOWN"))))</f>
        <v/>
      </c>
      <c r="C280">
        <f>IFERROR(Raw_Bookings!H281*VLOOKUP(Raw_Bookings!I281,Rates!$A$2:$B$6,2,FALSE),Raw_Bookings!H281)</f>
        <v/>
      </c>
      <c r="D280">
        <f>IF(Raw_Bookings!F281="New License","NEW",IF(OR(Raw_Bookings!F281="Renewal",Raw_Bookings!F281="Support"),"RECURRING","OTHER"))</f>
        <v/>
      </c>
      <c r="E280">
        <f>IFERROR(VLOOKUP(Raw_Bookings!G281,Rep_Master!$A$2:$D$18,3,FALSE),"")</f>
        <v/>
      </c>
      <c r="F280">
        <f>IFERROR(VLOOKUP(E280,Rep_Targets!$A$2:$D$9,4,FALSE),0)</f>
        <v/>
      </c>
      <c r="G280">
        <f>IF(F280=0,"NO QUOTA FOUND",IF(C280&gt;=F280*0.25,"On Track","Behind"))</f>
        <v/>
      </c>
      <c r="H280" t="n">
        <v>5604.7</v>
      </c>
      <c r="I280" t="inlineStr">
        <is>
          <t>ADJ279</t>
        </is>
      </c>
      <c r="J280" t="inlineStr">
        <is>
          <t>mgr adj - see email 3/12</t>
        </is>
      </c>
    </row>
    <row r="281">
      <c r="A281">
        <f>Raw_Bookings!A282</f>
        <v/>
      </c>
      <c r="B281">
        <f>IF(TRIM(LOWER(Raw_Bookings!D282))="east","East",IF(TRIM(LOWER(Raw_Bookings!D282))="west","West",IF(TRIM(LOWER(Raw_Bookings!D282))="central","Central",IF(TRIM(LOWER(Raw_Bookings!D282))="south","South","UNKNOWN"))))</f>
        <v/>
      </c>
      <c r="C281">
        <f>IFERROR(Raw_Bookings!H282*VLOOKUP(Raw_Bookings!I282,Rates!$A$2:$B$6,2,FALSE),Raw_Bookings!H282)</f>
        <v/>
      </c>
      <c r="D281">
        <f>IF(Raw_Bookings!F282="New License","NEW",IF(OR(Raw_Bookings!F282="Renewal",Raw_Bookings!F282="Support"),"RECURRING","OTHER"))</f>
        <v/>
      </c>
      <c r="E281">
        <f>IFERROR(VLOOKUP(Raw_Bookings!G282,Rep_Master!$A$2:$D$18,3,FALSE),"")</f>
        <v/>
      </c>
      <c r="F281">
        <f>IFERROR(VLOOKUP(E281,Rep_Targets!$A$2:$D$9,4,FALSE),0)</f>
        <v/>
      </c>
      <c r="G281">
        <f>IF(F281=0,"NO QUOTA FOUND",IF(C281&gt;=F281*0.25,"On Track","Behind"))</f>
        <v/>
      </c>
      <c r="H281">
        <f>C281*IF(B281="West",0.95,1)</f>
        <v/>
      </c>
    </row>
    <row r="282">
      <c r="A282">
        <f>Raw_Bookings!A283</f>
        <v/>
      </c>
      <c r="B282">
        <f>IF(TRIM(LOWER(Raw_Bookings!D283))="east","East",IF(TRIM(LOWER(Raw_Bookings!D283))="west","West",IF(TRIM(LOWER(Raw_Bookings!D283))="central","Central",IF(TRIM(LOWER(Raw_Bookings!D283))="south","South","UNKNOWN"))))</f>
        <v/>
      </c>
      <c r="C282">
        <f>IFERROR(Raw_Bookings!H283*VLOOKUP(Raw_Bookings!I283,Rates!$A$2:$B$6,2,FALSE),Raw_Bookings!H283)</f>
        <v/>
      </c>
      <c r="D282">
        <f>IF(Raw_Bookings!F283="New License","NEW",IF(OR(Raw_Bookings!F283="Renewal",Raw_Bookings!F283="Support"),"RECURRING","OTHER"))</f>
        <v/>
      </c>
      <c r="E282">
        <f>IFERROR(VLOOKUP(Raw_Bookings!G283,Rep_Master!$A$2:$D$18,3,FALSE),"")</f>
        <v/>
      </c>
      <c r="F282">
        <f>IFERROR(VLOOKUP(E282,Rep_Targets!$A$2:$D$9,4,FALSE),0)</f>
        <v/>
      </c>
      <c r="G282">
        <f>IF(F282=0,"NO QUOTA FOUND",IF(C282&gt;=F282*0.25,"On Track","Behind"))</f>
        <v/>
      </c>
      <c r="H282">
        <f>C282*IF(B282="West",0.95,1)</f>
        <v/>
      </c>
    </row>
    <row r="283">
      <c r="A283">
        <f>Raw_Bookings!A284</f>
        <v/>
      </c>
      <c r="B283">
        <f>IF(TRIM(LOWER(Raw_Bookings!D284))="east","East",IF(TRIM(LOWER(Raw_Bookings!D284))="west","West",IF(TRIM(LOWER(Raw_Bookings!D284))="central","Central",IF(TRIM(LOWER(Raw_Bookings!D284))="south","South","UNKNOWN"))))</f>
        <v/>
      </c>
      <c r="C283">
        <f>IFERROR(Raw_Bookings!H284*VLOOKUP(Raw_Bookings!I284,Rates!$A$2:$B$6,2,FALSE),Raw_Bookings!H284)</f>
        <v/>
      </c>
      <c r="D283">
        <f>IF(Raw_Bookings!F284="New License","NEW",IF(OR(Raw_Bookings!F284="Renewal",Raw_Bookings!F284="Support"),"RECURRING","OTHER"))</f>
        <v/>
      </c>
      <c r="E283">
        <f>IFERROR(VLOOKUP(Raw_Bookings!G284,Rep_Master!$A$2:$D$18,3,FALSE),"")</f>
        <v/>
      </c>
      <c r="F283">
        <f>IFERROR(VLOOKUP(E283,Rep_Targets!$A$2:$D$9,4,FALSE),0)</f>
        <v/>
      </c>
      <c r="G283">
        <f>IF(F283=0,"NO QUOTA FOUND",IF(C283&gt;=F283*0.25,"On Track","Behind"))</f>
        <v/>
      </c>
      <c r="H283">
        <f>C283*IF(B283="West",0.95,1)</f>
        <v/>
      </c>
    </row>
    <row r="284">
      <c r="A284">
        <f>Raw_Bookings!A285</f>
        <v/>
      </c>
      <c r="B284">
        <f>IF(TRIM(LOWER(Raw_Bookings!D285))="east","East",IF(TRIM(LOWER(Raw_Bookings!D285))="west","West",IF(TRIM(LOWER(Raw_Bookings!D285))="central","Central",IF(TRIM(LOWER(Raw_Bookings!D285))="south","South","UNKNOWN"))))</f>
        <v/>
      </c>
      <c r="C284">
        <f>IFERROR(Raw_Bookings!H285*VLOOKUP(Raw_Bookings!I285,Rates!$A$2:$B$6,2,FALSE),Raw_Bookings!H285)</f>
        <v/>
      </c>
      <c r="D284">
        <f>IF(Raw_Bookings!F285="New License","NEW",IF(OR(Raw_Bookings!F285="Renewal",Raw_Bookings!F285="Support"),"RECURRING","OTHER"))</f>
        <v/>
      </c>
      <c r="E284">
        <f>IFERROR(VLOOKUP(Raw_Bookings!G285,Rep_Master!$A$2:$D$18,3,FALSE),"")</f>
        <v/>
      </c>
      <c r="F284">
        <f>IFERROR(VLOOKUP(E284,Rep_Targets!$A$2:$D$9,4,FALSE),0)</f>
        <v/>
      </c>
      <c r="G284">
        <f>IF(F284=0,"NO QUOTA FOUND",IF(C284&gt;=F284*0.25,"On Track","Behind"))</f>
        <v/>
      </c>
      <c r="H284">
        <f>C284*IF(B284="West",0.95,1)</f>
        <v/>
      </c>
    </row>
    <row r="285">
      <c r="A285">
        <f>Raw_Bookings!A286</f>
        <v/>
      </c>
      <c r="B285">
        <f>IF(TRIM(LOWER(Raw_Bookings!D286))="east","East",IF(TRIM(LOWER(Raw_Bookings!D286))="west","West",IF(TRIM(LOWER(Raw_Bookings!D286))="central","Central",IF(TRIM(LOWER(Raw_Bookings!D286))="south","South","UNKNOWN"))))</f>
        <v/>
      </c>
      <c r="C285">
        <f>IFERROR(Raw_Bookings!H286*VLOOKUP(Raw_Bookings!I286,Rates!$A$2:$B$6,2,FALSE),Raw_Bookings!H286)</f>
        <v/>
      </c>
      <c r="D285">
        <f>IF(Raw_Bookings!F286="New License","NEW",IF(OR(Raw_Bookings!F286="Renewal",Raw_Bookings!F286="Support"),"RECURRING","OTHER"))</f>
        <v/>
      </c>
      <c r="E285">
        <f>IFERROR(VLOOKUP(Raw_Bookings!G286,Rep_Master!$A$2:$D$18,3,FALSE),"")</f>
        <v/>
      </c>
      <c r="F285">
        <f>IFERROR(VLOOKUP(E285,Rep_Targets!$A$2:$D$9,4,FALSE),0)</f>
        <v/>
      </c>
      <c r="G285">
        <f>IF(F285=0,"NO QUOTA FOUND",IF(C285&gt;=F285*0.25,"On Track","Behind"))</f>
        <v/>
      </c>
      <c r="H285">
        <f>C285*IF(B285="West",0.95,1)</f>
        <v/>
      </c>
    </row>
    <row r="286">
      <c r="A286">
        <f>Raw_Bookings!A287</f>
        <v/>
      </c>
      <c r="B286">
        <f>IF(TRIM(LOWER(Raw_Bookings!D287))="east","East",IF(TRIM(LOWER(Raw_Bookings!D287))="west","West",IF(TRIM(LOWER(Raw_Bookings!D287))="central","Central",IF(TRIM(LOWER(Raw_Bookings!D287))="south","South","UNKNOWN"))))</f>
        <v/>
      </c>
      <c r="C286">
        <f>IFERROR(Raw_Bookings!H287*VLOOKUP(Raw_Bookings!I287,Rates!$A$2:$B$6,2,FALSE),Raw_Bookings!H287)</f>
        <v/>
      </c>
      <c r="D286">
        <f>IF(Raw_Bookings!F287="New License","NEW",IF(OR(Raw_Bookings!F287="Renewal",Raw_Bookings!F287="Support"),"RECURRING","OTHER"))</f>
        <v/>
      </c>
      <c r="E286">
        <f>IFERROR(VLOOKUP(Raw_Bookings!G287,Rep_Master!$A$2:$D$18,3,FALSE),"")</f>
        <v/>
      </c>
      <c r="F286">
        <f>IFERROR(VLOOKUP(E286,Rep_Targets!$A$2:$D$9,4,FALSE),0)</f>
        <v/>
      </c>
      <c r="G286">
        <f>IF(F286=0,"NO QUOTA FOUND",IF(C286&gt;=F286*0.25,"On Track","Behind"))</f>
        <v/>
      </c>
      <c r="H286">
        <f>C286*IF(B286="West",0.95,1)</f>
        <v/>
      </c>
    </row>
    <row r="287">
      <c r="A287">
        <f>Raw_Bookings!A288</f>
        <v/>
      </c>
      <c r="B287">
        <f>IF(TRIM(LOWER(Raw_Bookings!D288))="east","East",IF(TRIM(LOWER(Raw_Bookings!D288))="west","West",IF(TRIM(LOWER(Raw_Bookings!D288))="central","Central",IF(TRIM(LOWER(Raw_Bookings!D288))="south","South","UNKNOWN"))))</f>
        <v/>
      </c>
      <c r="C287">
        <f>IFERROR(Raw_Bookings!H288*VLOOKUP(Raw_Bookings!I288,Rates!$A$2:$B$6,2,FALSE),Raw_Bookings!H288)</f>
        <v/>
      </c>
      <c r="D287">
        <f>IF(Raw_Bookings!F288="New License","NEW",IF(OR(Raw_Bookings!F288="Renewal",Raw_Bookings!F288="Support"),"RECURRING","OTHER"))</f>
        <v/>
      </c>
      <c r="E287">
        <f>IFERROR(VLOOKUP(Raw_Bookings!G288,Rep_Master!$A$2:$D$18,3,FALSE),"")</f>
        <v/>
      </c>
      <c r="F287">
        <f>IFERROR(VLOOKUP(E287,Rep_Targets!$A$2:$D$9,4,FALSE),0)</f>
        <v/>
      </c>
      <c r="G287">
        <f>IF(F287=0,"NO QUOTA FOUND",IF(C287&gt;=F287*0.25,"On Track","Behind"))</f>
        <v/>
      </c>
      <c r="H287">
        <f>C287*IF(B287="West",0.95,1)</f>
        <v/>
      </c>
    </row>
    <row r="288">
      <c r="A288">
        <f>Raw_Bookings!A289</f>
        <v/>
      </c>
      <c r="B288">
        <f>IF(TRIM(LOWER(Raw_Bookings!D289))="east","East",IF(TRIM(LOWER(Raw_Bookings!D289))="west","West",IF(TRIM(LOWER(Raw_Bookings!D289))="central","Central",IF(TRIM(LOWER(Raw_Bookings!D289))="south","South","UNKNOWN"))))</f>
        <v/>
      </c>
      <c r="C288">
        <f>IFERROR(Raw_Bookings!H289*VLOOKUP(Raw_Bookings!I289,Rates!$A$2:$B$6,2,FALSE),Raw_Bookings!H289)</f>
        <v/>
      </c>
      <c r="D288">
        <f>IF(Raw_Bookings!F289="New License","NEW",IF(OR(Raw_Bookings!F289="Renewal",Raw_Bookings!F289="Support"),"RECURRING","OTHER"))</f>
        <v/>
      </c>
      <c r="E288">
        <f>IFERROR(VLOOKUP(Raw_Bookings!G289,Rep_Master!$A$2:$D$18,3,FALSE),"")</f>
        <v/>
      </c>
      <c r="F288">
        <f>IFERROR(VLOOKUP(E288,Rep_Targets!$A$2:$D$9,4,FALSE),0)</f>
        <v/>
      </c>
      <c r="G288">
        <f>IF(F288=0,"NO QUOTA FOUND",IF(C288&gt;=F288*0.25,"On Track","Behind"))</f>
        <v/>
      </c>
      <c r="H288">
        <f>C288*IF(B288="West",0.95,1)</f>
        <v/>
      </c>
    </row>
    <row r="289">
      <c r="A289">
        <f>Raw_Bookings!A290</f>
        <v/>
      </c>
      <c r="B289">
        <f>IF(TRIM(LOWER(Raw_Bookings!D290))="east","East",IF(TRIM(LOWER(Raw_Bookings!D290))="west","West",IF(TRIM(LOWER(Raw_Bookings!D290))="central","Central",IF(TRIM(LOWER(Raw_Bookings!D290))="south","South","UNKNOWN"))))</f>
        <v/>
      </c>
      <c r="C289">
        <f>IFERROR(Raw_Bookings!H290*VLOOKUP(Raw_Bookings!I290,Rates!$A$2:$B$6,2,FALSE),Raw_Bookings!H290)</f>
        <v/>
      </c>
      <c r="D289">
        <f>IF(Raw_Bookings!F290="New License","NEW",IF(OR(Raw_Bookings!F290="Renewal",Raw_Bookings!F290="Support"),"RECURRING","OTHER"))</f>
        <v/>
      </c>
      <c r="E289">
        <f>IFERROR(VLOOKUP(Raw_Bookings!G290,Rep_Master!$A$2:$D$18,3,FALSE),"")</f>
        <v/>
      </c>
      <c r="F289">
        <f>IFERROR(VLOOKUP(E289,Rep_Targets!$A$2:$D$9,4,FALSE),0)</f>
        <v/>
      </c>
      <c r="G289">
        <f>IF(F289=0,"NO QUOTA FOUND",IF(C289&gt;=F289*0.25,"On Track","Behind"))</f>
        <v/>
      </c>
      <c r="H289">
        <f>C289*IF(B289="West",0.95,1)</f>
        <v/>
      </c>
    </row>
    <row r="290">
      <c r="A290">
        <f>Raw_Bookings!A291</f>
        <v/>
      </c>
      <c r="B290">
        <f>IF(TRIM(LOWER(Raw_Bookings!D291))="east","East",IF(TRIM(LOWER(Raw_Bookings!D291))="west","West",IF(TRIM(LOWER(Raw_Bookings!D291))="central","Central",IF(TRIM(LOWER(Raw_Bookings!D291))="south","South","UNKNOWN"))))</f>
        <v/>
      </c>
      <c r="C290">
        <f>IFERROR(Raw_Bookings!H291*VLOOKUP(Raw_Bookings!I291,Rates!$A$2:$B$6,2,FALSE),Raw_Bookings!H291)</f>
        <v/>
      </c>
      <c r="D290">
        <f>IF(Raw_Bookings!F291="New License","NEW",IF(OR(Raw_Bookings!F291="Renewal",Raw_Bookings!F291="Support"),"RECURRING","OTHER"))</f>
        <v/>
      </c>
      <c r="E290">
        <f>IFERROR(VLOOKUP(Raw_Bookings!G291,Rep_Master!$A$2:$D$18,3,FALSE),"")</f>
        <v/>
      </c>
      <c r="F290">
        <f>IFERROR(VLOOKUP(E290,Rep_Targets!$A$2:$D$9,4,FALSE),0)</f>
        <v/>
      </c>
      <c r="G290">
        <f>IF(F290=0,"NO QUOTA FOUND",IF(C290&gt;=F290*0.25,"On Track","Behind"))</f>
        <v/>
      </c>
      <c r="H290">
        <f>C290*IF(B290="West",0.95,1)</f>
        <v/>
      </c>
    </row>
    <row r="291">
      <c r="A291">
        <f>Raw_Bookings!A292</f>
        <v/>
      </c>
      <c r="B291">
        <f>IF(TRIM(LOWER(Raw_Bookings!D292))="east","East",IF(TRIM(LOWER(Raw_Bookings!D292))="west","West",IF(TRIM(LOWER(Raw_Bookings!D292))="central","Central",IF(TRIM(LOWER(Raw_Bookings!D292))="south","South","UNKNOWN"))))</f>
        <v/>
      </c>
      <c r="C291">
        <f>IFERROR(Raw_Bookings!H292*VLOOKUP(Raw_Bookings!I292,Rates!$A$2:$B$6,2,FALSE),Raw_Bookings!H292)</f>
        <v/>
      </c>
      <c r="D291">
        <f>IF(Raw_Bookings!F292="New License","NEW",IF(OR(Raw_Bookings!F292="Renewal",Raw_Bookings!F292="Support"),"RECURRING","OTHER"))</f>
        <v/>
      </c>
      <c r="E291">
        <f>IFERROR(VLOOKUP(Raw_Bookings!G292,Rep_Master!$A$2:$D$18,3,FALSE),"")</f>
        <v/>
      </c>
      <c r="F291">
        <f>IFERROR(VLOOKUP(E291,Rep_Targets!$A$2:$D$9,4,FALSE),0)</f>
        <v/>
      </c>
      <c r="G291">
        <f>IF(F291=0,"NO QUOTA FOUND",IF(C291&gt;=F291*0.25,"On Track","Behind"))</f>
        <v/>
      </c>
      <c r="H291">
        <f>C291*IF(B291="West",0.95,1)</f>
        <v/>
      </c>
    </row>
    <row r="292">
      <c r="A292">
        <f>Raw_Bookings!A293</f>
        <v/>
      </c>
      <c r="B292">
        <f>IF(TRIM(LOWER(Raw_Bookings!D293))="east","East",IF(TRIM(LOWER(Raw_Bookings!D293))="west","West",IF(TRIM(LOWER(Raw_Bookings!D293))="central","Central",IF(TRIM(LOWER(Raw_Bookings!D293))="south","South","UNKNOWN"))))</f>
        <v/>
      </c>
      <c r="C292">
        <f>IFERROR(Raw_Bookings!H293*VLOOKUP(Raw_Bookings!I293,Rates!$A$2:$B$6,2,FALSE),Raw_Bookings!H293)</f>
        <v/>
      </c>
      <c r="D292">
        <f>IF(Raw_Bookings!F293="New License","NEW",IF(OR(Raw_Bookings!F293="Renewal",Raw_Bookings!F293="Support"),"RECURRING","OTHER"))</f>
        <v/>
      </c>
      <c r="E292">
        <f>IFERROR(VLOOKUP(Raw_Bookings!G293,Rep_Master!$A$2:$D$18,3,FALSE),"")</f>
        <v/>
      </c>
      <c r="F292">
        <f>IFERROR(VLOOKUP(E292,Rep_Targets!$A$2:$D$9,4,FALSE),0)</f>
        <v/>
      </c>
      <c r="G292">
        <f>IF(F292=0,"NO QUOTA FOUND",IF(C292&gt;=F292*0.25,"On Track","Behind"))</f>
        <v/>
      </c>
      <c r="H292">
        <f>C292*IF(B292="West",0.95,1)</f>
        <v/>
      </c>
    </row>
    <row r="293">
      <c r="A293">
        <f>Raw_Bookings!A294</f>
        <v/>
      </c>
      <c r="B293">
        <f>IF(TRIM(LOWER(Raw_Bookings!D294))="east","East",IF(TRIM(LOWER(Raw_Bookings!D294))="west","West",IF(TRIM(LOWER(Raw_Bookings!D294))="central","Central",IF(TRIM(LOWER(Raw_Bookings!D294))="south","South","UNKNOWN"))))</f>
        <v/>
      </c>
      <c r="C293">
        <f>IFERROR(Raw_Bookings!H294*VLOOKUP(Raw_Bookings!I294,Rates!$A$2:$B$6,2,FALSE),Raw_Bookings!H294)</f>
        <v/>
      </c>
      <c r="D293">
        <f>IF(Raw_Bookings!F294="New License","NEW",IF(OR(Raw_Bookings!F294="Renewal",Raw_Bookings!F294="Support"),"RECURRING","OTHER"))</f>
        <v/>
      </c>
      <c r="E293">
        <f>IFERROR(VLOOKUP(Raw_Bookings!G294,Rep_Master!$A$2:$D$18,3,FALSE),"")</f>
        <v/>
      </c>
      <c r="F293">
        <f>IFERROR(VLOOKUP(E293,Rep_Targets!$A$2:$D$9,4,FALSE),0)</f>
        <v/>
      </c>
      <c r="G293">
        <f>IF(F293=0,"NO QUOTA FOUND",IF(C293&gt;=F293*0.25,"On Track","Behind"))</f>
        <v/>
      </c>
      <c r="H293">
        <f>C293*IF(B293="West",0.95,1)</f>
        <v/>
      </c>
    </row>
    <row r="294">
      <c r="A294">
        <f>Raw_Bookings!A295</f>
        <v/>
      </c>
      <c r="B294">
        <f>IF(TRIM(LOWER(Raw_Bookings!D295))="east","East",IF(TRIM(LOWER(Raw_Bookings!D295))="west","West",IF(TRIM(LOWER(Raw_Bookings!D295))="central","Central",IF(TRIM(LOWER(Raw_Bookings!D295))="south","South","UNKNOWN"))))</f>
        <v/>
      </c>
      <c r="C294">
        <f>IFERROR(Raw_Bookings!H295*VLOOKUP(Raw_Bookings!I295,Rates!$A$2:$B$6,2,FALSE),Raw_Bookings!H295)</f>
        <v/>
      </c>
      <c r="D294">
        <f>IF(Raw_Bookings!F295="New License","NEW",IF(OR(Raw_Bookings!F295="Renewal",Raw_Bookings!F295="Support"),"RECURRING","OTHER"))</f>
        <v/>
      </c>
      <c r="E294">
        <f>IFERROR(VLOOKUP(Raw_Bookings!G295,Rep_Master!$A$2:$D$18,3,FALSE),"")</f>
        <v/>
      </c>
      <c r="F294">
        <f>IFERROR(VLOOKUP(E294,Rep_Targets!$A$2:$D$9,4,FALSE),0)</f>
        <v/>
      </c>
      <c r="G294">
        <f>IF(F294=0,"NO QUOTA FOUND",IF(C294&gt;=F294*0.25,"On Track","Behind"))</f>
        <v/>
      </c>
      <c r="H294">
        <f>C294*IF(B294="West",0.95,1)</f>
        <v/>
      </c>
    </row>
    <row r="295">
      <c r="A295">
        <f>Raw_Bookings!A296</f>
        <v/>
      </c>
      <c r="B295">
        <f>IF(TRIM(LOWER(Raw_Bookings!D296))="east","East",IF(TRIM(LOWER(Raw_Bookings!D296))="west","West",IF(TRIM(LOWER(Raw_Bookings!D296))="central","Central",IF(TRIM(LOWER(Raw_Bookings!D296))="south","South","UNKNOWN"))))</f>
        <v/>
      </c>
      <c r="C295">
        <f>IFERROR(Raw_Bookings!H296*VLOOKUP(Raw_Bookings!I296,Rates!$A$2:$B$6,2,FALSE),Raw_Bookings!H296)</f>
        <v/>
      </c>
      <c r="D295">
        <f>IF(Raw_Bookings!F296="New License","NEW",IF(OR(Raw_Bookings!F296="Renewal",Raw_Bookings!F296="Support"),"RECURRING","OTHER"))</f>
        <v/>
      </c>
      <c r="E295">
        <f>IFERROR(VLOOKUP(Raw_Bookings!G296,Rep_Master!$A$2:$D$18,3,FALSE),"")</f>
        <v/>
      </c>
      <c r="F295">
        <f>IFERROR(VLOOKUP(E295,Rep_Targets!$A$2:$D$9,4,FALSE),0)</f>
        <v/>
      </c>
      <c r="G295">
        <f>IF(F295=0,"NO QUOTA FOUND",IF(C295&gt;=F295*0.25,"On Track","Behind"))</f>
        <v/>
      </c>
      <c r="H295">
        <f>C295*IF(B295="West",0.95,1)</f>
        <v/>
      </c>
    </row>
    <row r="296">
      <c r="A296">
        <f>Raw_Bookings!A297</f>
        <v/>
      </c>
      <c r="B296">
        <f>IF(TRIM(LOWER(Raw_Bookings!D297))="east","East",IF(TRIM(LOWER(Raw_Bookings!D297))="west","West",IF(TRIM(LOWER(Raw_Bookings!D297))="central","Central",IF(TRIM(LOWER(Raw_Bookings!D297))="south","South","UNKNOWN"))))</f>
        <v/>
      </c>
      <c r="C296">
        <f>IFERROR(Raw_Bookings!H297*VLOOKUP(Raw_Bookings!I297,Rates!$A$2:$B$6,2,FALSE),Raw_Bookings!H297)</f>
        <v/>
      </c>
      <c r="D296">
        <f>IF(Raw_Bookings!F297="New License","NEW",IF(OR(Raw_Bookings!F297="Renewal",Raw_Bookings!F297="Support"),"RECURRING","OTHER"))</f>
        <v/>
      </c>
      <c r="E296">
        <f>IFERROR(VLOOKUP(Raw_Bookings!G297,Rep_Master!$A$2:$D$18,3,FALSE),"")</f>
        <v/>
      </c>
      <c r="F296">
        <f>IFERROR(VLOOKUP(E296,Rep_Targets!$A$2:$D$9,4,FALSE),0)</f>
        <v/>
      </c>
      <c r="G296">
        <f>IF(F296=0,"NO QUOTA FOUND",IF(C296&gt;=F296*0.25,"On Track","Behind"))</f>
        <v/>
      </c>
      <c r="H296">
        <f>C296*IF(B296="West",0.95,1)</f>
        <v/>
      </c>
    </row>
    <row r="297">
      <c r="A297">
        <f>Raw_Bookings!A298</f>
        <v/>
      </c>
      <c r="B297">
        <f>IF(TRIM(LOWER(Raw_Bookings!D298))="east","East",IF(TRIM(LOWER(Raw_Bookings!D298))="west","West",IF(TRIM(LOWER(Raw_Bookings!D298))="central","Central",IF(TRIM(LOWER(Raw_Bookings!D298))="south","South","UNKNOWN"))))</f>
        <v/>
      </c>
      <c r="C297">
        <f>IFERROR(Raw_Bookings!H298*VLOOKUP(Raw_Bookings!I298,Rates!$A$2:$B$6,2,FALSE),Raw_Bookings!H298)</f>
        <v/>
      </c>
      <c r="D297">
        <f>IF(Raw_Bookings!F298="New License","NEW",IF(OR(Raw_Bookings!F298="Renewal",Raw_Bookings!F298="Support"),"RECURRING","OTHER"))</f>
        <v/>
      </c>
      <c r="E297">
        <f>IFERROR(VLOOKUP(Raw_Bookings!G298,Rep_Master!$A$2:$D$18,3,FALSE),"")</f>
        <v/>
      </c>
      <c r="F297">
        <f>IFERROR(VLOOKUP(E297,Rep_Targets!$A$2:$D$9,4,FALSE),0)</f>
        <v/>
      </c>
      <c r="G297">
        <f>IF(F297=0,"NO QUOTA FOUND",IF(C297&gt;=F297*0.25,"On Track","Behind"))</f>
        <v/>
      </c>
      <c r="H297">
        <f>C297*IF(B297="West",0.95,1)</f>
        <v/>
      </c>
    </row>
    <row r="298">
      <c r="A298">
        <f>Raw_Bookings!A299</f>
        <v/>
      </c>
      <c r="B298">
        <f>IF(TRIM(LOWER(Raw_Bookings!D299))="east","East",IF(TRIM(LOWER(Raw_Bookings!D299))="west","West",IF(TRIM(LOWER(Raw_Bookings!D299))="central","Central",IF(TRIM(LOWER(Raw_Bookings!D299))="south","South","UNKNOWN"))))</f>
        <v/>
      </c>
      <c r="C298">
        <f>IFERROR(Raw_Bookings!H299*VLOOKUP(Raw_Bookings!I299,Rates!$A$2:$B$6,2,FALSE),Raw_Bookings!H299)</f>
        <v/>
      </c>
      <c r="D298">
        <f>IF(Raw_Bookings!F299="New License","NEW",IF(OR(Raw_Bookings!F299="Renewal",Raw_Bookings!F299="Support"),"RECURRING","OTHER"))</f>
        <v/>
      </c>
      <c r="E298">
        <f>IFERROR(VLOOKUP(Raw_Bookings!G299,Rep_Master!$A$2:$D$18,3,FALSE),"")</f>
        <v/>
      </c>
      <c r="F298">
        <f>IFERROR(VLOOKUP(E298,Rep_Targets!$A$2:$D$9,4,FALSE),0)</f>
        <v/>
      </c>
      <c r="G298">
        <f>IF(F298=0,"NO QUOTA FOUND",IF(C298&gt;=F298*0.25,"On Track","Behind"))</f>
        <v/>
      </c>
      <c r="H298">
        <f>C298*IF(B298="West",0.95,1)</f>
        <v/>
      </c>
    </row>
    <row r="299">
      <c r="A299">
        <f>Raw_Bookings!A300</f>
        <v/>
      </c>
      <c r="B299">
        <f>IF(TRIM(LOWER(Raw_Bookings!D300))="east","East",IF(TRIM(LOWER(Raw_Bookings!D300))="west","West",IF(TRIM(LOWER(Raw_Bookings!D300))="central","Central",IF(TRIM(LOWER(Raw_Bookings!D300))="south","South","UNKNOWN"))))</f>
        <v/>
      </c>
      <c r="C299">
        <f>IFERROR(Raw_Bookings!H300*VLOOKUP(Raw_Bookings!I300,Rates!$A$2:$B$6,2,FALSE),Raw_Bookings!H300)</f>
        <v/>
      </c>
      <c r="D299">
        <f>IF(Raw_Bookings!F300="New License","NEW",IF(OR(Raw_Bookings!F300="Renewal",Raw_Bookings!F300="Support"),"RECURRING","OTHER"))</f>
        <v/>
      </c>
      <c r="E299">
        <f>IFERROR(VLOOKUP(Raw_Bookings!G300,Rep_Master!$A$2:$D$18,3,FALSE),"")</f>
        <v/>
      </c>
      <c r="F299">
        <f>IFERROR(VLOOKUP(E299,Rep_Targets!$A$2:$D$9,4,FALSE),0)</f>
        <v/>
      </c>
      <c r="G299">
        <f>IF(F299=0,"NO QUOTA FOUND",IF(C299&gt;=F299*0.25,"On Track","Behind"))</f>
        <v/>
      </c>
      <c r="H299">
        <f>C299*IF(B299="West",0.95,1)</f>
        <v/>
      </c>
    </row>
    <row r="300">
      <c r="A300">
        <f>Raw_Bookings!A301</f>
        <v/>
      </c>
      <c r="B300">
        <f>IF(TRIM(LOWER(Raw_Bookings!D301))="east","East",IF(TRIM(LOWER(Raw_Bookings!D301))="west","West",IF(TRIM(LOWER(Raw_Bookings!D301))="central","Central",IF(TRIM(LOWER(Raw_Bookings!D301))="south","South","UNKNOWN"))))</f>
        <v/>
      </c>
      <c r="C300">
        <f>IFERROR(Raw_Bookings!H301*VLOOKUP(Raw_Bookings!I301,Rates!$A$2:$B$6,2,FALSE),Raw_Bookings!H301)</f>
        <v/>
      </c>
      <c r="D300">
        <f>IF(Raw_Bookings!F301="New License","NEW",IF(OR(Raw_Bookings!F301="Renewal",Raw_Bookings!F301="Support"),"RECURRING","OTHER"))</f>
        <v/>
      </c>
      <c r="E300">
        <f>IFERROR(VLOOKUP(Raw_Bookings!G301,Rep_Master!$A$2:$D$18,3,FALSE),"")</f>
        <v/>
      </c>
      <c r="F300">
        <f>IFERROR(VLOOKUP(E300,Rep_Targets!$A$2:$D$9,4,FALSE),0)</f>
        <v/>
      </c>
      <c r="G300">
        <f>IF(F300=0,"NO QUOTA FOUND",IF(C300&gt;=F300*0.25,"On Track","Behind"))</f>
        <v/>
      </c>
      <c r="H300">
        <f>C300*IF(B300="West",0.95,1)</f>
        <v/>
      </c>
    </row>
    <row r="301">
      <c r="A301">
        <f>Raw_Bookings!A302</f>
        <v/>
      </c>
      <c r="B301">
        <f>IF(TRIM(LOWER(Raw_Bookings!D302))="east","East",IF(TRIM(LOWER(Raw_Bookings!D302))="west","West",IF(TRIM(LOWER(Raw_Bookings!D302))="central","Central",IF(TRIM(LOWER(Raw_Bookings!D302))="south","South","UNKNOWN"))))</f>
        <v/>
      </c>
      <c r="C301">
        <f>IFERROR(Raw_Bookings!H302*VLOOKUP(Raw_Bookings!I302,Rates!$A$2:$B$6,2,FALSE),Raw_Bookings!H302)</f>
        <v/>
      </c>
      <c r="D301">
        <f>IF(Raw_Bookings!F302="New License","NEW",IF(OR(Raw_Bookings!F302="Renewal",Raw_Bookings!F302="Support"),"RECURRING","OTHER"))</f>
        <v/>
      </c>
      <c r="E301">
        <f>IFERROR(VLOOKUP(Raw_Bookings!G302,Rep_Master!$A$2:$D$18,3,FALSE),"")</f>
        <v/>
      </c>
      <c r="F301">
        <f>IFERROR(VLOOKUP(E301,Rep_Targets!$A$2:$D$9,4,FALSE),0)</f>
        <v/>
      </c>
      <c r="G301">
        <f>IF(F301=0,"NO QUOTA FOUND",IF(C301&gt;=F301*0.25,"On Track","Behind"))</f>
        <v/>
      </c>
      <c r="H301">
        <f>C301*IF(B301="West",0.95,1)</f>
        <v/>
      </c>
    </row>
    <row r="302">
      <c r="A302">
        <f>Raw_Bookings!A303</f>
        <v/>
      </c>
      <c r="B302">
        <f>IF(TRIM(LOWER(Raw_Bookings!D303))="east","East",IF(TRIM(LOWER(Raw_Bookings!D303))="west","West",IF(TRIM(LOWER(Raw_Bookings!D303))="central","Central",IF(TRIM(LOWER(Raw_Bookings!D303))="south","South","UNKNOWN"))))</f>
        <v/>
      </c>
      <c r="C302">
        <f>IFERROR(Raw_Bookings!H303*VLOOKUP(Raw_Bookings!I303,Rates!$A$2:$B$6,2,FALSE),Raw_Bookings!H303)</f>
        <v/>
      </c>
      <c r="D302">
        <f>IF(Raw_Bookings!F303="New License","NEW",IF(OR(Raw_Bookings!F303="Renewal",Raw_Bookings!F303="Support"),"RECURRING","OTHER"))</f>
        <v/>
      </c>
      <c r="E302">
        <f>IFERROR(VLOOKUP(Raw_Bookings!G303,Rep_Master!$A$2:$D$18,3,FALSE),"")</f>
        <v/>
      </c>
      <c r="F302">
        <f>IFERROR(VLOOKUP(E302,Rep_Targets!$A$2:$D$9,4,FALSE),0)</f>
        <v/>
      </c>
      <c r="G302">
        <f>IF(F302=0,"NO QUOTA FOUND",IF(C302&gt;=F302*0.25,"On Track","Behind"))</f>
        <v/>
      </c>
      <c r="H302">
        <f>C302*IF(B302="West",0.95,1)</f>
        <v/>
      </c>
    </row>
    <row r="303">
      <c r="A303">
        <f>Raw_Bookings!A304</f>
        <v/>
      </c>
      <c r="B303">
        <f>IF(TRIM(LOWER(Raw_Bookings!D304))="east","East",IF(TRIM(LOWER(Raw_Bookings!D304))="west","West",IF(TRIM(LOWER(Raw_Bookings!D304))="central","Central",IF(TRIM(LOWER(Raw_Bookings!D304))="south","South","UNKNOWN"))))</f>
        <v/>
      </c>
      <c r="C303">
        <f>IFERROR(Raw_Bookings!H304*VLOOKUP(Raw_Bookings!I304,Rates!$A$2:$B$6,2,FALSE),Raw_Bookings!H304)</f>
        <v/>
      </c>
      <c r="D303">
        <f>IF(Raw_Bookings!F304="New License","NEW",IF(OR(Raw_Bookings!F304="Renewal",Raw_Bookings!F304="Support"),"RECURRING","OTHER"))</f>
        <v/>
      </c>
      <c r="E303">
        <f>IFERROR(VLOOKUP(Raw_Bookings!G304,Rep_Master!$A$2:$D$18,3,FALSE),"")</f>
        <v/>
      </c>
      <c r="F303">
        <f>IFERROR(VLOOKUP(E303,Rep_Targets!$A$2:$D$9,4,FALSE),0)</f>
        <v/>
      </c>
      <c r="G303">
        <f>IF(F303=0,"NO QUOTA FOUND",IF(C303&gt;=F303*0.25,"On Track","Behind"))</f>
        <v/>
      </c>
      <c r="H303">
        <f>C303*IF(B303="West",0.95,1)</f>
        <v/>
      </c>
    </row>
    <row r="304">
      <c r="A304">
        <f>Raw_Bookings!A305</f>
        <v/>
      </c>
      <c r="B304">
        <f>IF(TRIM(LOWER(Raw_Bookings!D305))="east","East",IF(TRIM(LOWER(Raw_Bookings!D305))="west","West",IF(TRIM(LOWER(Raw_Bookings!D305))="central","Central",IF(TRIM(LOWER(Raw_Bookings!D305))="south","South","UNKNOWN"))))</f>
        <v/>
      </c>
      <c r="C304">
        <f>IFERROR(Raw_Bookings!H305*VLOOKUP(Raw_Bookings!I305,Rates!$A$2:$B$6,2,FALSE),Raw_Bookings!H305)</f>
        <v/>
      </c>
      <c r="D304">
        <f>IF(Raw_Bookings!F305="New License","NEW",IF(OR(Raw_Bookings!F305="Renewal",Raw_Bookings!F305="Support"),"RECURRING","OTHER"))</f>
        <v/>
      </c>
      <c r="E304">
        <f>IFERROR(VLOOKUP(Raw_Bookings!G305,Rep_Master!$A$2:$D$18,3,FALSE),"")</f>
        <v/>
      </c>
      <c r="F304">
        <f>IFERROR(VLOOKUP(E304,Rep_Targets!$A$2:$D$9,4,FALSE),0)</f>
        <v/>
      </c>
      <c r="G304">
        <f>IF(F304=0,"NO QUOTA FOUND",IF(C304&gt;=F304*0.25,"On Track","Behind"))</f>
        <v/>
      </c>
      <c r="H304">
        <f>C304*IF(B304="West",0.95,1)</f>
        <v/>
      </c>
    </row>
    <row r="305">
      <c r="A305">
        <f>Raw_Bookings!A306</f>
        <v/>
      </c>
      <c r="B305">
        <f>IF(TRIM(LOWER(Raw_Bookings!D306))="east","East",IF(TRIM(LOWER(Raw_Bookings!D306))="west","West",IF(TRIM(LOWER(Raw_Bookings!D306))="central","Central",IF(TRIM(LOWER(Raw_Bookings!D306))="south","South","UNKNOWN"))))</f>
        <v/>
      </c>
      <c r="C305">
        <f>IFERROR(Raw_Bookings!H306*VLOOKUP(Raw_Bookings!I306,Rates!$A$2:$B$6,2,FALSE),Raw_Bookings!H306)</f>
        <v/>
      </c>
      <c r="D305">
        <f>IF(Raw_Bookings!F306="New License","NEW",IF(OR(Raw_Bookings!F306="Renewal",Raw_Bookings!F306="Support"),"RECURRING","OTHER"))</f>
        <v/>
      </c>
      <c r="E305">
        <f>IFERROR(VLOOKUP(Raw_Bookings!G306,Rep_Master!$A$2:$D$18,3,FALSE),"")</f>
        <v/>
      </c>
      <c r="F305">
        <f>IFERROR(VLOOKUP(E305,Rep_Targets!$A$2:$D$9,4,FALSE),0)</f>
        <v/>
      </c>
      <c r="G305">
        <f>IF(F305=0,"NO QUOTA FOUND",IF(C305&gt;=F305*0.25,"On Track","Behind"))</f>
        <v/>
      </c>
      <c r="H305">
        <f>C305*IF(B305="West",0.95,1)</f>
        <v/>
      </c>
    </row>
    <row r="306">
      <c r="A306">
        <f>Raw_Bookings!A307</f>
        <v/>
      </c>
      <c r="B306">
        <f>IF(TRIM(LOWER(Raw_Bookings!D307))="east","East",IF(TRIM(LOWER(Raw_Bookings!D307))="west","West",IF(TRIM(LOWER(Raw_Bookings!D307))="central","Central",IF(TRIM(LOWER(Raw_Bookings!D307))="south","South","UNKNOWN"))))</f>
        <v/>
      </c>
      <c r="C306">
        <f>IFERROR(Raw_Bookings!H307*VLOOKUP(Raw_Bookings!I307,Rates!$A$2:$B$6,2,FALSE),Raw_Bookings!H307)</f>
        <v/>
      </c>
      <c r="D306">
        <f>IF(Raw_Bookings!F307="New License","NEW",IF(OR(Raw_Bookings!F307="Renewal",Raw_Bookings!F307="Support"),"RECURRING","OTHER"))</f>
        <v/>
      </c>
      <c r="E306">
        <f>IFERROR(VLOOKUP(Raw_Bookings!G307,Rep_Master!$A$2:$D$18,3,FALSE),"")</f>
        <v/>
      </c>
      <c r="F306">
        <f>IFERROR(VLOOKUP(E306,Rep_Targets!$A$2:$D$9,4,FALSE),0)</f>
        <v/>
      </c>
      <c r="G306">
        <f>IF(F306=0,"NO QUOTA FOUND",IF(C306&gt;=F306*0.25,"On Track","Behind"))</f>
        <v/>
      </c>
      <c r="H306">
        <f>C306*IF(B306="West",0.95,1)</f>
        <v/>
      </c>
    </row>
    <row r="307">
      <c r="A307">
        <f>Raw_Bookings!A308</f>
        <v/>
      </c>
      <c r="B307">
        <f>IF(TRIM(LOWER(Raw_Bookings!D308))="east","East",IF(TRIM(LOWER(Raw_Bookings!D308))="west","West",IF(TRIM(LOWER(Raw_Bookings!D308))="central","Central",IF(TRIM(LOWER(Raw_Bookings!D308))="south","South","UNKNOWN"))))</f>
        <v/>
      </c>
      <c r="C307">
        <f>IFERROR(Raw_Bookings!H308*VLOOKUP(Raw_Bookings!I308,Rates!$A$2:$B$6,2,FALSE),Raw_Bookings!H308)</f>
        <v/>
      </c>
      <c r="D307">
        <f>IF(Raw_Bookings!F308="New License","NEW",IF(OR(Raw_Bookings!F308="Renewal",Raw_Bookings!F308="Support"),"RECURRING","OTHER"))</f>
        <v/>
      </c>
      <c r="E307">
        <f>IFERROR(VLOOKUP(Raw_Bookings!G308,Rep_Master!$A$2:$D$18,3,FALSE),"")</f>
        <v/>
      </c>
      <c r="F307">
        <f>IFERROR(VLOOKUP(E307,Rep_Targets!$A$2:$D$9,4,FALSE),0)</f>
        <v/>
      </c>
      <c r="G307">
        <f>IF(F307=0,"NO QUOTA FOUND",IF(C307&gt;=F307*0.25,"On Track","Behind"))</f>
        <v/>
      </c>
      <c r="H307">
        <f>C307*IF(B307="West",0.95,1)</f>
        <v/>
      </c>
    </row>
    <row r="308">
      <c r="A308">
        <f>Raw_Bookings!A309</f>
        <v/>
      </c>
      <c r="B308">
        <f>IF(TRIM(LOWER(Raw_Bookings!D309))="east","East",IF(TRIM(LOWER(Raw_Bookings!D309))="west","West",IF(TRIM(LOWER(Raw_Bookings!D309))="central","Central",IF(TRIM(LOWER(Raw_Bookings!D309))="south","South","UNKNOWN"))))</f>
        <v/>
      </c>
      <c r="C308">
        <f>IFERROR(Raw_Bookings!H309*VLOOKUP(Raw_Bookings!I309,Rates!$A$2:$B$6,2,FALSE),Raw_Bookings!H309)</f>
        <v/>
      </c>
      <c r="D308">
        <f>IF(Raw_Bookings!F309="New License","NEW",IF(OR(Raw_Bookings!F309="Renewal",Raw_Bookings!F309="Support"),"RECURRING","OTHER"))</f>
        <v/>
      </c>
      <c r="E308">
        <f>IFERROR(VLOOKUP(Raw_Bookings!G309,Rep_Master!$A$2:$D$18,3,FALSE),"")</f>
        <v/>
      </c>
      <c r="F308">
        <f>IFERROR(VLOOKUP(E308,Rep_Targets!$A$2:$D$9,4,FALSE),0)</f>
        <v/>
      </c>
      <c r="G308">
        <f>IF(F308=0,"NO QUOTA FOUND",IF(C308&gt;=F308*0.25,"On Track","Behind"))</f>
        <v/>
      </c>
      <c r="H308" t="n">
        <v>49415.95</v>
      </c>
      <c r="I308" t="inlineStr">
        <is>
          <t>ADJ307</t>
        </is>
      </c>
      <c r="J308" t="inlineStr">
        <is>
          <t>mgr adj - see email 3/12</t>
        </is>
      </c>
    </row>
    <row r="309">
      <c r="A309">
        <f>Raw_Bookings!A310</f>
        <v/>
      </c>
      <c r="B309">
        <f>IF(TRIM(LOWER(Raw_Bookings!D310))="east","East",IF(TRIM(LOWER(Raw_Bookings!D310))="west","West",IF(TRIM(LOWER(Raw_Bookings!D310))="central","Central",IF(TRIM(LOWER(Raw_Bookings!D310))="south","South","UNKNOWN"))))</f>
        <v/>
      </c>
      <c r="C309">
        <f>IFERROR(Raw_Bookings!H310*VLOOKUP(Raw_Bookings!I310,Rates!$A$2:$B$6,2,FALSE),Raw_Bookings!H310)</f>
        <v/>
      </c>
      <c r="D309">
        <f>IF(Raw_Bookings!F310="New License","NEW",IF(OR(Raw_Bookings!F310="Renewal",Raw_Bookings!F310="Support"),"RECURRING","OTHER"))</f>
        <v/>
      </c>
      <c r="E309">
        <f>IFERROR(VLOOKUP(Raw_Bookings!G310,Rep_Master!$A$2:$D$18,3,FALSE),"")</f>
        <v/>
      </c>
      <c r="F309">
        <f>IFERROR(VLOOKUP(E309,Rep_Targets!$A$2:$D$9,4,FALSE),0)</f>
        <v/>
      </c>
      <c r="G309">
        <f>IF(F309=0,"NO QUOTA FOUND",IF(C309&gt;=F309*0.25,"On Track","Behind"))</f>
        <v/>
      </c>
      <c r="H309">
        <f>C309*IF(B309="West",0.95,1)</f>
        <v/>
      </c>
    </row>
    <row r="310">
      <c r="A310">
        <f>Raw_Bookings!A311</f>
        <v/>
      </c>
      <c r="B310">
        <f>IF(TRIM(LOWER(Raw_Bookings!D311))="east","East",IF(TRIM(LOWER(Raw_Bookings!D311))="west","West",IF(TRIM(LOWER(Raw_Bookings!D311))="central","Central",IF(TRIM(LOWER(Raw_Bookings!D311))="south","South","UNKNOWN"))))</f>
        <v/>
      </c>
      <c r="C310">
        <f>IFERROR(Raw_Bookings!H311*VLOOKUP(Raw_Bookings!I311,Rates!$A$2:$B$6,2,FALSE),Raw_Bookings!H311)</f>
        <v/>
      </c>
      <c r="D310">
        <f>IF(Raw_Bookings!F311="New License","NEW",IF(OR(Raw_Bookings!F311="Renewal",Raw_Bookings!F311="Support"),"RECURRING","OTHER"))</f>
        <v/>
      </c>
      <c r="E310">
        <f>IFERROR(VLOOKUP(Raw_Bookings!G311,Rep_Master!$A$2:$D$18,3,FALSE),"")</f>
        <v/>
      </c>
      <c r="F310">
        <f>IFERROR(VLOOKUP(E310,Rep_Targets!$A$2:$D$9,4,FALSE),0)</f>
        <v/>
      </c>
      <c r="G310">
        <f>IF(F310=0,"NO QUOTA FOUND",IF(C310&gt;=F310*0.25,"On Track","Behind"))</f>
        <v/>
      </c>
      <c r="H310">
        <f>C310*IF(B310="West",0.95,1)</f>
        <v/>
      </c>
    </row>
    <row r="311">
      <c r="A311">
        <f>Raw_Bookings!A312</f>
        <v/>
      </c>
      <c r="B311">
        <f>IF(TRIM(LOWER(Raw_Bookings!D312))="east","East",IF(TRIM(LOWER(Raw_Bookings!D312))="west","West",IF(TRIM(LOWER(Raw_Bookings!D312))="central","Central",IF(TRIM(LOWER(Raw_Bookings!D312))="south","South","UNKNOWN"))))</f>
        <v/>
      </c>
      <c r="C311">
        <f>IFERROR(Raw_Bookings!H312*VLOOKUP(Raw_Bookings!I312,Rates!$A$2:$B$6,2,FALSE),Raw_Bookings!H312)</f>
        <v/>
      </c>
      <c r="D311">
        <f>IF(Raw_Bookings!F312="New License","NEW",IF(OR(Raw_Bookings!F312="Renewal",Raw_Bookings!F312="Support"),"RECURRING","OTHER"))</f>
        <v/>
      </c>
      <c r="E311">
        <f>IFERROR(VLOOKUP(Raw_Bookings!G312,Rep_Master!$A$2:$D$18,3,FALSE),"")</f>
        <v/>
      </c>
      <c r="F311">
        <f>IFERROR(VLOOKUP(E311,Rep_Targets!$A$2:$D$9,4,FALSE),0)</f>
        <v/>
      </c>
      <c r="G311">
        <f>IF(F311=0,"NO QUOTA FOUND",IF(C311&gt;=F311*0.25,"On Track","Behind"))</f>
        <v/>
      </c>
      <c r="H311">
        <f>C311*IF(B311="West",0.95,1)</f>
        <v/>
      </c>
    </row>
    <row r="312">
      <c r="A312">
        <f>Raw_Bookings!A313</f>
        <v/>
      </c>
      <c r="B312">
        <f>IF(TRIM(LOWER(Raw_Bookings!D313))="east","East",IF(TRIM(LOWER(Raw_Bookings!D313))="west","West",IF(TRIM(LOWER(Raw_Bookings!D313))="central","Central",IF(TRIM(LOWER(Raw_Bookings!D313))="south","South","UNKNOWN"))))</f>
        <v/>
      </c>
      <c r="C312">
        <f>IFERROR(Raw_Bookings!H313*VLOOKUP(Raw_Bookings!I313,Rates!$A$2:$B$6,2,FALSE),Raw_Bookings!H313)</f>
        <v/>
      </c>
      <c r="D312">
        <f>IF(Raw_Bookings!F313="New License","NEW",IF(OR(Raw_Bookings!F313="Renewal",Raw_Bookings!F313="Support"),"RECURRING","OTHER"))</f>
        <v/>
      </c>
      <c r="E312">
        <f>IFERROR(VLOOKUP(Raw_Bookings!G313,Rep_Master!$A$2:$D$18,3,FALSE),"")</f>
        <v/>
      </c>
      <c r="F312">
        <f>IFERROR(VLOOKUP(E312,Rep_Targets!$A$2:$D$9,4,FALSE),0)</f>
        <v/>
      </c>
      <c r="G312">
        <f>IF(F312=0,"NO QUOTA FOUND",IF(C312&gt;=F312*0.25,"On Track","Behind"))</f>
        <v/>
      </c>
      <c r="H312">
        <f>C312*IF(B312="West",0.95,1)</f>
        <v/>
      </c>
    </row>
    <row r="313">
      <c r="A313">
        <f>Raw_Bookings!A314</f>
        <v/>
      </c>
      <c r="B313">
        <f>IF(TRIM(LOWER(Raw_Bookings!D314))="east","East",IF(TRIM(LOWER(Raw_Bookings!D314))="west","West",IF(TRIM(LOWER(Raw_Bookings!D314))="central","Central",IF(TRIM(LOWER(Raw_Bookings!D314))="south","South","UNKNOWN"))))</f>
        <v/>
      </c>
      <c r="C313">
        <f>IFERROR(Raw_Bookings!H314*VLOOKUP(Raw_Bookings!I314,Rates!$A$2:$B$6,2,FALSE),Raw_Bookings!H314)</f>
        <v/>
      </c>
      <c r="D313">
        <f>IF(Raw_Bookings!F314="New License","NEW",IF(OR(Raw_Bookings!F314="Renewal",Raw_Bookings!F314="Support"),"RECURRING","OTHER"))</f>
        <v/>
      </c>
      <c r="E313">
        <f>IFERROR(VLOOKUP(Raw_Bookings!G314,Rep_Master!$A$2:$D$18,3,FALSE),"")</f>
        <v/>
      </c>
      <c r="F313">
        <f>IFERROR(VLOOKUP(E313,Rep_Targets!$A$2:$D$9,4,FALSE),0)</f>
        <v/>
      </c>
      <c r="G313">
        <f>IF(F313=0,"NO QUOTA FOUND",IF(C313&gt;=F313*0.25,"On Track","Behind"))</f>
        <v/>
      </c>
      <c r="H313">
        <f>C313*IF(B313="West",0.95,1)</f>
        <v/>
      </c>
    </row>
    <row r="314">
      <c r="A314">
        <f>Raw_Bookings!A315</f>
        <v/>
      </c>
      <c r="B314">
        <f>IF(TRIM(LOWER(Raw_Bookings!D315))="east","East",IF(TRIM(LOWER(Raw_Bookings!D315))="west","West",IF(TRIM(LOWER(Raw_Bookings!D315))="central","Central",IF(TRIM(LOWER(Raw_Bookings!D315))="south","South","UNKNOWN"))))</f>
        <v/>
      </c>
      <c r="C314">
        <f>IFERROR(Raw_Bookings!H315*VLOOKUP(Raw_Bookings!I315,Rates!$A$2:$B$6,2,FALSE),Raw_Bookings!H315)</f>
        <v/>
      </c>
      <c r="D314">
        <f>IF(Raw_Bookings!F315="New License","NEW",IF(OR(Raw_Bookings!F315="Renewal",Raw_Bookings!F315="Support"),"RECURRING","OTHER"))</f>
        <v/>
      </c>
      <c r="E314">
        <f>IFERROR(VLOOKUP(Raw_Bookings!G315,Rep_Master!$A$2:$D$18,3,FALSE),"")</f>
        <v/>
      </c>
      <c r="F314">
        <f>IFERROR(VLOOKUP(E314,Rep_Targets!$A$2:$D$9,4,FALSE),0)</f>
        <v/>
      </c>
      <c r="G314">
        <f>IF(F314=0,"NO QUOTA FOUND",IF(C314&gt;=F314*0.25,"On Track","Behind"))</f>
        <v/>
      </c>
      <c r="H314">
        <f>C314*IF(B314="West",0.95,1)</f>
        <v/>
      </c>
    </row>
    <row r="315">
      <c r="A315">
        <f>Raw_Bookings!A316</f>
        <v/>
      </c>
      <c r="B315">
        <f>IF(TRIM(LOWER(Raw_Bookings!D316))="east","East",IF(TRIM(LOWER(Raw_Bookings!D316))="west","West",IF(TRIM(LOWER(Raw_Bookings!D316))="central","Central",IF(TRIM(LOWER(Raw_Bookings!D316))="south","South","UNKNOWN"))))</f>
        <v/>
      </c>
      <c r="C315">
        <f>IFERROR(Raw_Bookings!H316*VLOOKUP(Raw_Bookings!I316,Rates!$A$2:$B$6,2,FALSE),Raw_Bookings!H316)</f>
        <v/>
      </c>
      <c r="D315">
        <f>IF(Raw_Bookings!F316="New License","NEW",IF(OR(Raw_Bookings!F316="Renewal",Raw_Bookings!F316="Support"),"RECURRING","OTHER"))</f>
        <v/>
      </c>
      <c r="E315">
        <f>IFERROR(VLOOKUP(Raw_Bookings!G316,Rep_Master!$A$2:$D$18,3,FALSE),"")</f>
        <v/>
      </c>
      <c r="F315">
        <f>IFERROR(VLOOKUP(E315,Rep_Targets!$A$2:$D$9,4,FALSE),0)</f>
        <v/>
      </c>
      <c r="G315">
        <f>IF(F315=0,"NO QUOTA FOUND",IF(C315&gt;=F315*0.25,"On Track","Behind"))</f>
        <v/>
      </c>
      <c r="H315">
        <f>C315*IF(B315="West",0.95,1)</f>
        <v/>
      </c>
    </row>
    <row r="316">
      <c r="A316">
        <f>Raw_Bookings!A317</f>
        <v/>
      </c>
      <c r="B316">
        <f>IF(TRIM(LOWER(Raw_Bookings!D317))="east","East",IF(TRIM(LOWER(Raw_Bookings!D317))="west","West",IF(TRIM(LOWER(Raw_Bookings!D317))="central","Central",IF(TRIM(LOWER(Raw_Bookings!D317))="south","South","UNKNOWN"))))</f>
        <v/>
      </c>
      <c r="C316">
        <f>IFERROR(Raw_Bookings!H317*VLOOKUP(Raw_Bookings!I317,Rates!$A$2:$B$6,2,FALSE),Raw_Bookings!H317)</f>
        <v/>
      </c>
      <c r="D316">
        <f>IF(Raw_Bookings!F317="New License","NEW",IF(OR(Raw_Bookings!F317="Renewal",Raw_Bookings!F317="Support"),"RECURRING","OTHER"))</f>
        <v/>
      </c>
      <c r="E316">
        <f>IFERROR(VLOOKUP(Raw_Bookings!G317,Rep_Master!$A$2:$D$18,3,FALSE),"")</f>
        <v/>
      </c>
      <c r="F316">
        <f>IFERROR(VLOOKUP(E316,Rep_Targets!$A$2:$D$9,4,FALSE),0)</f>
        <v/>
      </c>
      <c r="G316">
        <f>IF(F316=0,"NO QUOTA FOUND",IF(C316&gt;=F316*0.25,"On Track","Behind"))</f>
        <v/>
      </c>
      <c r="H316">
        <f>C316*IF(B316="West",0.95,1)</f>
        <v/>
      </c>
    </row>
    <row r="317">
      <c r="A317">
        <f>Raw_Bookings!A318</f>
        <v/>
      </c>
      <c r="B317">
        <f>IF(TRIM(LOWER(Raw_Bookings!D318))="east","East",IF(TRIM(LOWER(Raw_Bookings!D318))="west","West",IF(TRIM(LOWER(Raw_Bookings!D318))="central","Central",IF(TRIM(LOWER(Raw_Bookings!D318))="south","South","UNKNOWN"))))</f>
        <v/>
      </c>
      <c r="C317">
        <f>IFERROR(Raw_Bookings!H318*VLOOKUP(Raw_Bookings!I318,Rates!$A$2:$B$6,2,FALSE),Raw_Bookings!H318)</f>
        <v/>
      </c>
      <c r="D317">
        <f>IF(Raw_Bookings!F318="New License","NEW",IF(OR(Raw_Bookings!F318="Renewal",Raw_Bookings!F318="Support"),"RECURRING","OTHER"))</f>
        <v/>
      </c>
      <c r="E317">
        <f>IFERROR(VLOOKUP(Raw_Bookings!G318,Rep_Master!$A$2:$D$18,3,FALSE),"")</f>
        <v/>
      </c>
      <c r="F317">
        <f>IFERROR(VLOOKUP(E317,Rep_Targets!$A$2:$D$9,4,FALSE),0)</f>
        <v/>
      </c>
      <c r="G317">
        <f>IF(F317=0,"NO QUOTA FOUND",IF(C317&gt;=F317*0.25,"On Track","Behind"))</f>
        <v/>
      </c>
      <c r="H317">
        <f>C317*IF(B317="West",0.95,1)</f>
        <v/>
      </c>
    </row>
    <row r="318">
      <c r="A318">
        <f>Raw_Bookings!A319</f>
        <v/>
      </c>
      <c r="B318">
        <f>IF(TRIM(LOWER(Raw_Bookings!D319))="east","East",IF(TRIM(LOWER(Raw_Bookings!D319))="west","West",IF(TRIM(LOWER(Raw_Bookings!D319))="central","Central",IF(TRIM(LOWER(Raw_Bookings!D319))="south","South","UNKNOWN"))))</f>
        <v/>
      </c>
      <c r="C318">
        <f>IFERROR(Raw_Bookings!H319*VLOOKUP(Raw_Bookings!I319,Rates!$A$2:$B$6,2,FALSE),Raw_Bookings!H319)</f>
        <v/>
      </c>
      <c r="D318">
        <f>IF(Raw_Bookings!F319="New License","NEW",IF(OR(Raw_Bookings!F319="Renewal",Raw_Bookings!F319="Support"),"RECURRING","OTHER"))</f>
        <v/>
      </c>
      <c r="E318">
        <f>IFERROR(VLOOKUP(Raw_Bookings!G319,Rep_Master!$A$2:$D$18,3,FALSE),"")</f>
        <v/>
      </c>
      <c r="F318">
        <f>IFERROR(VLOOKUP(E318,Rep_Targets!$A$2:$D$9,4,FALSE),0)</f>
        <v/>
      </c>
      <c r="G318">
        <f>IF(F318=0,"NO QUOTA FOUND",IF(C318&gt;=F318*0.25,"On Track","Behind"))</f>
        <v/>
      </c>
      <c r="H318">
        <f>C318*IF(B318="West",0.95,1)</f>
        <v/>
      </c>
    </row>
    <row r="319">
      <c r="A319">
        <f>Raw_Bookings!A320</f>
        <v/>
      </c>
      <c r="B319">
        <f>IF(TRIM(LOWER(Raw_Bookings!D320))="east","East",IF(TRIM(LOWER(Raw_Bookings!D320))="west","West",IF(TRIM(LOWER(Raw_Bookings!D320))="central","Central",IF(TRIM(LOWER(Raw_Bookings!D320))="south","South","UNKNOWN"))))</f>
        <v/>
      </c>
      <c r="C319">
        <f>IFERROR(Raw_Bookings!H320*VLOOKUP(Raw_Bookings!I320,Rates!$A$2:$B$6,2,FALSE),Raw_Bookings!H320)</f>
        <v/>
      </c>
      <c r="D319">
        <f>IF(Raw_Bookings!F320="New License","NEW",IF(OR(Raw_Bookings!F320="Renewal",Raw_Bookings!F320="Support"),"RECURRING","OTHER"))</f>
        <v/>
      </c>
      <c r="E319">
        <f>IFERROR(VLOOKUP(Raw_Bookings!G320,Rep_Master!$A$2:$D$18,3,FALSE),"")</f>
        <v/>
      </c>
      <c r="F319">
        <f>IFERROR(VLOOKUP(E319,Rep_Targets!$A$2:$D$9,4,FALSE),0)</f>
        <v/>
      </c>
      <c r="G319">
        <f>IF(F319=0,"NO QUOTA FOUND",IF(C319&gt;=F319*0.25,"On Track","Behind"))</f>
        <v/>
      </c>
      <c r="H319">
        <f>C319*IF(B319="West",0.95,1)</f>
        <v/>
      </c>
    </row>
    <row r="320">
      <c r="A320">
        <f>Raw_Bookings!A321</f>
        <v/>
      </c>
      <c r="B320">
        <f>IF(TRIM(LOWER(Raw_Bookings!D321))="east","East",IF(TRIM(LOWER(Raw_Bookings!D321))="west","West",IF(TRIM(LOWER(Raw_Bookings!D321))="central","Central",IF(TRIM(LOWER(Raw_Bookings!D321))="south","South","UNKNOWN"))))</f>
        <v/>
      </c>
      <c r="C320">
        <f>IFERROR(Raw_Bookings!H321*VLOOKUP(Raw_Bookings!I321,Rates!$A$2:$B$6,2,FALSE),Raw_Bookings!H321)</f>
        <v/>
      </c>
      <c r="D320">
        <f>IF(Raw_Bookings!F321="New License","NEW",IF(OR(Raw_Bookings!F321="Renewal",Raw_Bookings!F321="Support"),"RECURRING","OTHER"))</f>
        <v/>
      </c>
      <c r="E320">
        <f>IFERROR(VLOOKUP(Raw_Bookings!G321,Rep_Master!$A$2:$D$18,3,FALSE),"")</f>
        <v/>
      </c>
      <c r="F320">
        <f>IFERROR(VLOOKUP(E320,Rep_Targets!$A$2:$D$9,4,FALSE),0)</f>
        <v/>
      </c>
      <c r="G320">
        <f>IF(F320=0,"NO QUOTA FOUND",IF(C320&gt;=F320*0.25,"On Track","Behind"))</f>
        <v/>
      </c>
      <c r="H320">
        <f>C320*IF(B320="West",0.95,1)</f>
        <v/>
      </c>
    </row>
    <row r="321">
      <c r="A321">
        <f>Raw_Bookings!A322</f>
        <v/>
      </c>
      <c r="B321">
        <f>IF(TRIM(LOWER(Raw_Bookings!D322))="east","East",IF(TRIM(LOWER(Raw_Bookings!D322))="west","West",IF(TRIM(LOWER(Raw_Bookings!D322))="central","Central",IF(TRIM(LOWER(Raw_Bookings!D322))="south","South","UNKNOWN"))))</f>
        <v/>
      </c>
      <c r="C321">
        <f>IFERROR(Raw_Bookings!H322*VLOOKUP(Raw_Bookings!I322,Rates!$A$2:$B$6,2,FALSE),Raw_Bookings!H322)</f>
        <v/>
      </c>
      <c r="D321">
        <f>IF(Raw_Bookings!F322="New License","NEW",IF(OR(Raw_Bookings!F322="Renewal",Raw_Bookings!F322="Support"),"RECURRING","OTHER"))</f>
        <v/>
      </c>
      <c r="E321">
        <f>IFERROR(VLOOKUP(Raw_Bookings!G322,Rep_Master!$A$2:$D$18,3,FALSE),"")</f>
        <v/>
      </c>
      <c r="F321">
        <f>IFERROR(VLOOKUP(E321,Rep_Targets!$A$2:$D$9,4,FALSE),0)</f>
        <v/>
      </c>
      <c r="G321">
        <f>IF(F321=0,"NO QUOTA FOUND",IF(C321&gt;=F321*0.25,"On Track","Behind"))</f>
        <v/>
      </c>
      <c r="H321">
        <f>C321*IF(B321="West",0.95,1)</f>
        <v/>
      </c>
    </row>
    <row r="322">
      <c r="A322">
        <f>Raw_Bookings!A323</f>
        <v/>
      </c>
      <c r="B322">
        <f>IF(TRIM(LOWER(Raw_Bookings!D323))="east","East",IF(TRIM(LOWER(Raw_Bookings!D323))="west","West",IF(TRIM(LOWER(Raw_Bookings!D323))="central","Central",IF(TRIM(LOWER(Raw_Bookings!D323))="south","South","UNKNOWN"))))</f>
        <v/>
      </c>
      <c r="C322">
        <f>IFERROR(Raw_Bookings!H323*VLOOKUP(Raw_Bookings!I323,Rates!$A$2:$B$6,2,FALSE),Raw_Bookings!H323)</f>
        <v/>
      </c>
      <c r="D322">
        <f>IF(Raw_Bookings!F323="New License","NEW",IF(OR(Raw_Bookings!F323="Renewal",Raw_Bookings!F323="Support"),"RECURRING","OTHER"))</f>
        <v/>
      </c>
      <c r="E322">
        <f>IFERROR(VLOOKUP(Raw_Bookings!G323,Rep_Master!$A$2:$D$18,3,FALSE),"")</f>
        <v/>
      </c>
      <c r="F322">
        <f>IFERROR(VLOOKUP(E322,Rep_Targets!$A$2:$D$9,4,FALSE),0)</f>
        <v/>
      </c>
      <c r="G322">
        <f>IF(F322=0,"NO QUOTA FOUND",IF(C322&gt;=F322*0.25,"On Track","Behind"))</f>
        <v/>
      </c>
      <c r="H322">
        <f>C322*IF(B322="West",0.95,1)</f>
        <v/>
      </c>
    </row>
    <row r="323">
      <c r="A323">
        <f>Raw_Bookings!A324</f>
        <v/>
      </c>
      <c r="B323">
        <f>IF(TRIM(LOWER(Raw_Bookings!D324))="east","East",IF(TRIM(LOWER(Raw_Bookings!D324))="west","West",IF(TRIM(LOWER(Raw_Bookings!D324))="central","Central",IF(TRIM(LOWER(Raw_Bookings!D324))="south","South","UNKNOWN"))))</f>
        <v/>
      </c>
      <c r="C323">
        <f>IFERROR(Raw_Bookings!H324*VLOOKUP(Raw_Bookings!I324,Rates!$A$2:$B$6,2,FALSE),Raw_Bookings!H324)</f>
        <v/>
      </c>
      <c r="D323">
        <f>IF(Raw_Bookings!F324="New License","NEW",IF(OR(Raw_Bookings!F324="Renewal",Raw_Bookings!F324="Support"),"RECURRING","OTHER"))</f>
        <v/>
      </c>
      <c r="E323">
        <f>IFERROR(VLOOKUP(Raw_Bookings!G324,Rep_Master!$A$2:$D$18,3,FALSE),"")</f>
        <v/>
      </c>
      <c r="F323">
        <f>IFERROR(VLOOKUP(E323,Rep_Targets!$A$2:$D$9,4,FALSE),0)</f>
        <v/>
      </c>
      <c r="G323">
        <f>IF(F323=0,"NO QUOTA FOUND",IF(C323&gt;=F323*0.25,"On Track","Behind"))</f>
        <v/>
      </c>
      <c r="H323">
        <f>C323*IF(B323="West",0.95,1)</f>
        <v/>
      </c>
    </row>
    <row r="324">
      <c r="A324">
        <f>Raw_Bookings!A325</f>
        <v/>
      </c>
      <c r="B324">
        <f>IF(TRIM(LOWER(Raw_Bookings!D325))="east","East",IF(TRIM(LOWER(Raw_Bookings!D325))="west","West",IF(TRIM(LOWER(Raw_Bookings!D325))="central","Central",IF(TRIM(LOWER(Raw_Bookings!D325))="south","South","UNKNOWN"))))</f>
        <v/>
      </c>
      <c r="C324">
        <f>IFERROR(Raw_Bookings!H325*VLOOKUP(Raw_Bookings!I325,Rates!$A$2:$B$6,2,FALSE),Raw_Bookings!H325)</f>
        <v/>
      </c>
      <c r="D324">
        <f>IF(Raw_Bookings!F325="New License","NEW",IF(OR(Raw_Bookings!F325="Renewal",Raw_Bookings!F325="Support"),"RECURRING","OTHER"))</f>
        <v/>
      </c>
      <c r="E324">
        <f>IFERROR(VLOOKUP(Raw_Bookings!G325,Rep_Master!$A$2:$D$18,3,FALSE),"")</f>
        <v/>
      </c>
      <c r="F324">
        <f>IFERROR(VLOOKUP(E324,Rep_Targets!$A$2:$D$9,4,FALSE),0)</f>
        <v/>
      </c>
      <c r="G324">
        <f>IF(F324=0,"NO QUOTA FOUND",IF(C324&gt;=F324*0.25,"On Track","Behind"))</f>
        <v/>
      </c>
      <c r="H324">
        <f>C324*IF(B324="West",0.95,1)</f>
        <v/>
      </c>
    </row>
    <row r="325">
      <c r="A325">
        <f>Raw_Bookings!A326</f>
        <v/>
      </c>
      <c r="B325">
        <f>IF(TRIM(LOWER(Raw_Bookings!D326))="east","East",IF(TRIM(LOWER(Raw_Bookings!D326))="west","West",IF(TRIM(LOWER(Raw_Bookings!D326))="central","Central",IF(TRIM(LOWER(Raw_Bookings!D326))="south","South","UNKNOWN"))))</f>
        <v/>
      </c>
      <c r="C325">
        <f>IFERROR(Raw_Bookings!H326*VLOOKUP(Raw_Bookings!I326,Rates!$A$2:$B$6,2,FALSE),Raw_Bookings!H326)</f>
        <v/>
      </c>
      <c r="D325">
        <f>IF(Raw_Bookings!F326="New License","NEW",IF(OR(Raw_Bookings!F326="Renewal",Raw_Bookings!F326="Support"),"RECURRING","OTHER"))</f>
        <v/>
      </c>
      <c r="E325">
        <f>IFERROR(VLOOKUP(Raw_Bookings!G326,Rep_Master!$A$2:$D$18,3,FALSE),"")</f>
        <v/>
      </c>
      <c r="F325">
        <f>IFERROR(VLOOKUP(E325,Rep_Targets!$A$2:$D$9,4,FALSE),0)</f>
        <v/>
      </c>
      <c r="G325">
        <f>IF(F325=0,"NO QUOTA FOUND",IF(C325&gt;=F325*0.25,"On Track","Behind"))</f>
        <v/>
      </c>
      <c r="H325">
        <f>C325*IF(B325="West",0.95,1)</f>
        <v/>
      </c>
    </row>
    <row r="326">
      <c r="A326">
        <f>Raw_Bookings!A327</f>
        <v/>
      </c>
      <c r="B326">
        <f>IF(TRIM(LOWER(Raw_Bookings!D327))="east","East",IF(TRIM(LOWER(Raw_Bookings!D327))="west","West",IF(TRIM(LOWER(Raw_Bookings!D327))="central","Central",IF(TRIM(LOWER(Raw_Bookings!D327))="south","South","UNKNOWN"))))</f>
        <v/>
      </c>
      <c r="C326">
        <f>IFERROR(Raw_Bookings!H327*VLOOKUP(Raw_Bookings!I327,Rates!$A$2:$B$6,2,FALSE),Raw_Bookings!H327)</f>
        <v/>
      </c>
      <c r="D326">
        <f>IF(Raw_Bookings!F327="New License","NEW",IF(OR(Raw_Bookings!F327="Renewal",Raw_Bookings!F327="Support"),"RECURRING","OTHER"))</f>
        <v/>
      </c>
      <c r="E326">
        <f>IFERROR(VLOOKUP(Raw_Bookings!G327,Rep_Master!$A$2:$D$18,3,FALSE),"")</f>
        <v/>
      </c>
      <c r="F326">
        <f>IFERROR(VLOOKUP(E326,Rep_Targets!$A$2:$D$9,4,FALSE),0)</f>
        <v/>
      </c>
      <c r="G326">
        <f>IF(F326=0,"NO QUOTA FOUND",IF(C326&gt;=F326*0.25,"On Track","Behind"))</f>
        <v/>
      </c>
      <c r="H326">
        <f>C326*IF(B326="West",0.95,1)</f>
        <v/>
      </c>
    </row>
    <row r="327">
      <c r="A327">
        <f>Raw_Bookings!A328</f>
        <v/>
      </c>
      <c r="B327">
        <f>IF(TRIM(LOWER(Raw_Bookings!D328))="east","East",IF(TRIM(LOWER(Raw_Bookings!D328))="west","West",IF(TRIM(LOWER(Raw_Bookings!D328))="central","Central",IF(TRIM(LOWER(Raw_Bookings!D328))="south","South","UNKNOWN"))))</f>
        <v/>
      </c>
      <c r="C327">
        <f>IFERROR(Raw_Bookings!H328*VLOOKUP(Raw_Bookings!I328,Rates!$A$2:$B$6,2,FALSE),Raw_Bookings!H328)</f>
        <v/>
      </c>
      <c r="D327">
        <f>IF(Raw_Bookings!F328="New License","NEW",IF(OR(Raw_Bookings!F328="Renewal",Raw_Bookings!F328="Support"),"RECURRING","OTHER"))</f>
        <v/>
      </c>
      <c r="E327">
        <f>IFERROR(VLOOKUP(Raw_Bookings!G328,Rep_Master!$A$2:$D$18,3,FALSE),"")</f>
        <v/>
      </c>
      <c r="F327">
        <f>IFERROR(VLOOKUP(E327,Rep_Targets!$A$2:$D$9,4,FALSE),0)</f>
        <v/>
      </c>
      <c r="G327">
        <f>IF(F327=0,"NO QUOTA FOUND",IF(C327&gt;=F327*0.25,"On Track","Behind"))</f>
        <v/>
      </c>
      <c r="H327">
        <f>C327*IF(B327="West",0.95,1)</f>
        <v/>
      </c>
    </row>
    <row r="328">
      <c r="A328">
        <f>Raw_Bookings!A329</f>
        <v/>
      </c>
      <c r="B328">
        <f>IF(TRIM(LOWER(Raw_Bookings!D329))="east","East",IF(TRIM(LOWER(Raw_Bookings!D329))="west","West",IF(TRIM(LOWER(Raw_Bookings!D329))="central","Central",IF(TRIM(LOWER(Raw_Bookings!D329))="south","South","UNKNOWN"))))</f>
        <v/>
      </c>
      <c r="C328">
        <f>IFERROR(Raw_Bookings!H329*VLOOKUP(Raw_Bookings!I329,Rates!$A$2:$B$6,2,FALSE),Raw_Bookings!H329)</f>
        <v/>
      </c>
      <c r="D328">
        <f>IF(Raw_Bookings!F329="New License","NEW",IF(OR(Raw_Bookings!F329="Renewal",Raw_Bookings!F329="Support"),"RECURRING","OTHER"))</f>
        <v/>
      </c>
      <c r="E328">
        <f>IFERROR(VLOOKUP(Raw_Bookings!G329,Rep_Master!$A$2:$D$18,3,FALSE),"")</f>
        <v/>
      </c>
      <c r="F328">
        <f>IFERROR(VLOOKUP(E328,Rep_Targets!$A$2:$D$9,4,FALSE),0)</f>
        <v/>
      </c>
      <c r="G328">
        <f>IF(F328=0,"NO QUOTA FOUND",IF(C328&gt;=F328*0.25,"On Track","Behind"))</f>
        <v/>
      </c>
      <c r="H328">
        <f>C328*IF(B328="West",0.95,1)</f>
        <v/>
      </c>
    </row>
    <row r="329">
      <c r="A329">
        <f>Raw_Bookings!A330</f>
        <v/>
      </c>
      <c r="B329">
        <f>IF(TRIM(LOWER(Raw_Bookings!D330))="east","East",IF(TRIM(LOWER(Raw_Bookings!D330))="west","West",IF(TRIM(LOWER(Raw_Bookings!D330))="central","Central",IF(TRIM(LOWER(Raw_Bookings!D330))="south","South","UNKNOWN"))))</f>
        <v/>
      </c>
      <c r="C329">
        <f>IFERROR(Raw_Bookings!H330*VLOOKUP(Raw_Bookings!I330,Rates!$A$2:$B$6,2,FALSE),Raw_Bookings!H330)</f>
        <v/>
      </c>
      <c r="D329">
        <f>IF(Raw_Bookings!F330="New License","NEW",IF(OR(Raw_Bookings!F330="Renewal",Raw_Bookings!F330="Support"),"RECURRING","OTHER"))</f>
        <v/>
      </c>
      <c r="E329">
        <f>IFERROR(VLOOKUP(Raw_Bookings!G330,Rep_Master!$A$2:$D$18,3,FALSE),"")</f>
        <v/>
      </c>
      <c r="F329">
        <f>IFERROR(VLOOKUP(E329,Rep_Targets!$A$2:$D$9,4,FALSE),0)</f>
        <v/>
      </c>
      <c r="G329">
        <f>IF(F329=0,"NO QUOTA FOUND",IF(C329&gt;=F329*0.25,"On Track","Behind"))</f>
        <v/>
      </c>
      <c r="H329">
        <f>C329*IF(B329="West",0.95,1)</f>
        <v/>
      </c>
    </row>
    <row r="330">
      <c r="A330">
        <f>Raw_Bookings!A331</f>
        <v/>
      </c>
      <c r="B330">
        <f>IF(TRIM(LOWER(Raw_Bookings!D331))="east","East",IF(TRIM(LOWER(Raw_Bookings!D331))="west","West",IF(TRIM(LOWER(Raw_Bookings!D331))="central","Central",IF(TRIM(LOWER(Raw_Bookings!D331))="south","South","UNKNOWN"))))</f>
        <v/>
      </c>
      <c r="C330">
        <f>IFERROR(Raw_Bookings!H331*VLOOKUP(Raw_Bookings!I331,Rates!$A$2:$B$6,2,FALSE),Raw_Bookings!H331)</f>
        <v/>
      </c>
      <c r="D330">
        <f>IF(Raw_Bookings!F331="New License","NEW",IF(OR(Raw_Bookings!F331="Renewal",Raw_Bookings!F331="Support"),"RECURRING","OTHER"))</f>
        <v/>
      </c>
      <c r="E330">
        <f>IFERROR(VLOOKUP(Raw_Bookings!G331,Rep_Master!$A$2:$D$18,3,FALSE),"")</f>
        <v/>
      </c>
      <c r="F330">
        <f>IFERROR(VLOOKUP(E330,Rep_Targets!$A$2:$D$9,4,FALSE),0)</f>
        <v/>
      </c>
      <c r="G330">
        <f>IF(F330=0,"NO QUOTA FOUND",IF(C330&gt;=F330*0.25,"On Track","Behind"))</f>
        <v/>
      </c>
      <c r="H330">
        <f>C330*IF(B330="West",0.95,1)</f>
        <v/>
      </c>
    </row>
    <row r="331">
      <c r="A331">
        <f>Raw_Bookings!A332</f>
        <v/>
      </c>
      <c r="B331">
        <f>IF(TRIM(LOWER(Raw_Bookings!D332))="east","East",IF(TRIM(LOWER(Raw_Bookings!D332))="west","West",IF(TRIM(LOWER(Raw_Bookings!D332))="central","Central",IF(TRIM(LOWER(Raw_Bookings!D332))="south","South","UNKNOWN"))))</f>
        <v/>
      </c>
      <c r="C331">
        <f>IFERROR(Raw_Bookings!H332*VLOOKUP(Raw_Bookings!I332,Rates!$A$2:$B$6,2,FALSE),Raw_Bookings!H332)</f>
        <v/>
      </c>
      <c r="D331">
        <f>IF(Raw_Bookings!F332="New License","NEW",IF(OR(Raw_Bookings!F332="Renewal",Raw_Bookings!F332="Support"),"RECURRING","OTHER"))</f>
        <v/>
      </c>
      <c r="E331">
        <f>IFERROR(VLOOKUP(Raw_Bookings!G332,Rep_Master!$A$2:$D$18,3,FALSE),"")</f>
        <v/>
      </c>
      <c r="F331">
        <f>IFERROR(VLOOKUP(E331,Rep_Targets!$A$2:$D$9,4,FALSE),0)</f>
        <v/>
      </c>
      <c r="G331">
        <f>IF(F331=0,"NO QUOTA FOUND",IF(C331&gt;=F331*0.25,"On Track","Behind"))</f>
        <v/>
      </c>
      <c r="H331">
        <f>C331*IF(B331="West",0.95,1)</f>
        <v/>
      </c>
    </row>
    <row r="332">
      <c r="A332">
        <f>Raw_Bookings!A333</f>
        <v/>
      </c>
      <c r="B332">
        <f>IF(TRIM(LOWER(Raw_Bookings!D333))="east","East",IF(TRIM(LOWER(Raw_Bookings!D333))="west","West",IF(TRIM(LOWER(Raw_Bookings!D333))="central","Central",IF(TRIM(LOWER(Raw_Bookings!D333))="south","South","UNKNOWN"))))</f>
        <v/>
      </c>
      <c r="C332">
        <f>IFERROR(Raw_Bookings!H333*VLOOKUP(Raw_Bookings!I333,Rates!$A$2:$B$6,2,FALSE),Raw_Bookings!H333)</f>
        <v/>
      </c>
      <c r="D332">
        <f>IF(Raw_Bookings!F333="New License","NEW",IF(OR(Raw_Bookings!F333="Renewal",Raw_Bookings!F333="Support"),"RECURRING","OTHER"))</f>
        <v/>
      </c>
      <c r="E332">
        <f>IFERROR(VLOOKUP(Raw_Bookings!G333,Rep_Master!$A$2:$D$18,3,FALSE),"")</f>
        <v/>
      </c>
      <c r="F332">
        <f>IFERROR(VLOOKUP(E332,Rep_Targets!$A$2:$D$9,4,FALSE),0)</f>
        <v/>
      </c>
      <c r="G332">
        <f>IF(F332=0,"NO QUOTA FOUND",IF(C332&gt;=F332*0.25,"On Track","Behind"))</f>
        <v/>
      </c>
      <c r="H332">
        <f>C332*IF(B332="West",0.95,1)</f>
        <v/>
      </c>
    </row>
    <row r="333">
      <c r="A333">
        <f>Raw_Bookings!A334</f>
        <v/>
      </c>
      <c r="B333">
        <f>IF(TRIM(LOWER(Raw_Bookings!D334))="east","East",IF(TRIM(LOWER(Raw_Bookings!D334))="west","West",IF(TRIM(LOWER(Raw_Bookings!D334))="central","Central",IF(TRIM(LOWER(Raw_Bookings!D334))="south","South","UNKNOWN"))))</f>
        <v/>
      </c>
      <c r="C333">
        <f>IFERROR(Raw_Bookings!H334*VLOOKUP(Raw_Bookings!I334,Rates!$A$2:$B$6,2,FALSE),Raw_Bookings!H334)</f>
        <v/>
      </c>
      <c r="D333">
        <f>IF(Raw_Bookings!F334="New License","NEW",IF(OR(Raw_Bookings!F334="Renewal",Raw_Bookings!F334="Support"),"RECURRING","OTHER"))</f>
        <v/>
      </c>
      <c r="E333">
        <f>IFERROR(VLOOKUP(Raw_Bookings!G334,Rep_Master!$A$2:$D$18,3,FALSE),"")</f>
        <v/>
      </c>
      <c r="F333">
        <f>IFERROR(VLOOKUP(E333,Rep_Targets!$A$2:$D$9,4,FALSE),0)</f>
        <v/>
      </c>
      <c r="G333">
        <f>IF(F333=0,"NO QUOTA FOUND",IF(C333&gt;=F333*0.25,"On Track","Behind"))</f>
        <v/>
      </c>
      <c r="H333">
        <f>C333*IF(B333="West",0.95,1)</f>
        <v/>
      </c>
    </row>
    <row r="334">
      <c r="A334">
        <f>Raw_Bookings!A335</f>
        <v/>
      </c>
      <c r="B334">
        <f>IF(TRIM(LOWER(Raw_Bookings!D335))="east","East",IF(TRIM(LOWER(Raw_Bookings!D335))="west","West",IF(TRIM(LOWER(Raw_Bookings!D335))="central","Central",IF(TRIM(LOWER(Raw_Bookings!D335))="south","South","UNKNOWN"))))</f>
        <v/>
      </c>
      <c r="C334">
        <f>IFERROR(Raw_Bookings!H335*VLOOKUP(Raw_Bookings!I335,Rates!$A$2:$B$6,2,FALSE),Raw_Bookings!H335)</f>
        <v/>
      </c>
      <c r="D334">
        <f>IF(Raw_Bookings!F335="New License","NEW",IF(OR(Raw_Bookings!F335="Renewal",Raw_Bookings!F335="Support"),"RECURRING","OTHER"))</f>
        <v/>
      </c>
      <c r="E334">
        <f>IFERROR(VLOOKUP(Raw_Bookings!G335,Rep_Master!$A$2:$D$18,3,FALSE),"")</f>
        <v/>
      </c>
      <c r="F334">
        <f>IFERROR(VLOOKUP(E334,Rep_Targets!$A$2:$D$9,4,FALSE),0)</f>
        <v/>
      </c>
      <c r="G334">
        <f>IF(F334=0,"NO QUOTA FOUND",IF(C334&gt;=F334*0.25,"On Track","Behind"))</f>
        <v/>
      </c>
      <c r="H334">
        <f>C334*IF(B334="West",0.95,1)</f>
        <v/>
      </c>
    </row>
    <row r="335">
      <c r="A335">
        <f>Raw_Bookings!A336</f>
        <v/>
      </c>
      <c r="B335">
        <f>IF(TRIM(LOWER(Raw_Bookings!D336))="east","East",IF(TRIM(LOWER(Raw_Bookings!D336))="west","West",IF(TRIM(LOWER(Raw_Bookings!D336))="central","Central",IF(TRIM(LOWER(Raw_Bookings!D336))="south","South","UNKNOWN"))))</f>
        <v/>
      </c>
      <c r="C335">
        <f>IFERROR(Raw_Bookings!H336*VLOOKUP(Raw_Bookings!I336,Rates!$A$2:$B$6,2,FALSE),Raw_Bookings!H336)</f>
        <v/>
      </c>
      <c r="D335">
        <f>IF(Raw_Bookings!F336="New License","NEW",IF(OR(Raw_Bookings!F336="Renewal",Raw_Bookings!F336="Support"),"RECURRING","OTHER"))</f>
        <v/>
      </c>
      <c r="E335">
        <f>IFERROR(VLOOKUP(Raw_Bookings!G336,Rep_Master!$A$2:$D$18,3,FALSE),"")</f>
        <v/>
      </c>
      <c r="F335">
        <f>IFERROR(VLOOKUP(E335,Rep_Targets!$A$2:$D$9,4,FALSE),0)</f>
        <v/>
      </c>
      <c r="G335">
        <f>IF(F335=0,"NO QUOTA FOUND",IF(C335&gt;=F335*0.25,"On Track","Behind"))</f>
        <v/>
      </c>
      <c r="H335">
        <f>C335*IF(B335="West",0.95,1)</f>
        <v/>
      </c>
    </row>
    <row r="336">
      <c r="A336">
        <f>Raw_Bookings!A337</f>
        <v/>
      </c>
      <c r="B336">
        <f>IF(TRIM(LOWER(Raw_Bookings!D337))="east","East",IF(TRIM(LOWER(Raw_Bookings!D337))="west","West",IF(TRIM(LOWER(Raw_Bookings!D337))="central","Central",IF(TRIM(LOWER(Raw_Bookings!D337))="south","South","UNKNOWN"))))</f>
        <v/>
      </c>
      <c r="C336">
        <f>IFERROR(Raw_Bookings!H337*VLOOKUP(Raw_Bookings!I337,Rates!$A$2:$B$6,2,FALSE),Raw_Bookings!H337)</f>
        <v/>
      </c>
      <c r="D336">
        <f>IF(Raw_Bookings!F337="New License","NEW",IF(OR(Raw_Bookings!F337="Renewal",Raw_Bookings!F337="Support"),"RECURRING","OTHER"))</f>
        <v/>
      </c>
      <c r="E336">
        <f>IFERROR(VLOOKUP(Raw_Bookings!G337,Rep_Master!$A$2:$D$18,3,FALSE),"")</f>
        <v/>
      </c>
      <c r="F336">
        <f>IFERROR(VLOOKUP(E336,Rep_Targets!$A$2:$D$9,4,FALSE),0)</f>
        <v/>
      </c>
      <c r="G336">
        <f>IF(F336=0,"NO QUOTA FOUND",IF(C336&gt;=F336*0.25,"On Track","Behind"))</f>
        <v/>
      </c>
      <c r="H336">
        <f>C336*IF(B336="West",0.95,1)</f>
        <v/>
      </c>
    </row>
    <row r="337">
      <c r="A337">
        <f>Raw_Bookings!A338</f>
        <v/>
      </c>
      <c r="B337">
        <f>IF(TRIM(LOWER(Raw_Bookings!D338))="east","East",IF(TRIM(LOWER(Raw_Bookings!D338))="west","West",IF(TRIM(LOWER(Raw_Bookings!D338))="central","Central",IF(TRIM(LOWER(Raw_Bookings!D338))="south","South","UNKNOWN"))))</f>
        <v/>
      </c>
      <c r="C337">
        <f>IFERROR(Raw_Bookings!H338*VLOOKUP(Raw_Bookings!I338,Rates!$A$2:$B$6,2,FALSE),Raw_Bookings!H338)</f>
        <v/>
      </c>
      <c r="D337">
        <f>IF(Raw_Bookings!F338="New License","NEW",IF(OR(Raw_Bookings!F338="Renewal",Raw_Bookings!F338="Support"),"RECURRING","OTHER"))</f>
        <v/>
      </c>
      <c r="E337">
        <f>IFERROR(VLOOKUP(Raw_Bookings!G338,Rep_Master!$A$2:$D$18,3,FALSE),"")</f>
        <v/>
      </c>
      <c r="F337">
        <f>IFERROR(VLOOKUP(E337,Rep_Targets!$A$2:$D$9,4,FALSE),0)</f>
        <v/>
      </c>
      <c r="G337">
        <f>IF(F337=0,"NO QUOTA FOUND",IF(C337&gt;=F337*0.25,"On Track","Behind"))</f>
        <v/>
      </c>
      <c r="H337">
        <f>C337*IF(B337="West",0.95,1)</f>
        <v/>
      </c>
    </row>
    <row r="338">
      <c r="A338">
        <f>Raw_Bookings!A339</f>
        <v/>
      </c>
      <c r="B338">
        <f>IF(TRIM(LOWER(Raw_Bookings!D339))="east","East",IF(TRIM(LOWER(Raw_Bookings!D339))="west","West",IF(TRIM(LOWER(Raw_Bookings!D339))="central","Central",IF(TRIM(LOWER(Raw_Bookings!D339))="south","South","UNKNOWN"))))</f>
        <v/>
      </c>
      <c r="C338">
        <f>IFERROR(Raw_Bookings!H339*VLOOKUP(Raw_Bookings!I339,Rates!$A$2:$B$6,2,FALSE),Raw_Bookings!H339)</f>
        <v/>
      </c>
      <c r="D338">
        <f>IF(Raw_Bookings!F339="New License","NEW",IF(OR(Raw_Bookings!F339="Renewal",Raw_Bookings!F339="Support"),"RECURRING","OTHER"))</f>
        <v/>
      </c>
      <c r="E338">
        <f>IFERROR(VLOOKUP(Raw_Bookings!G339,Rep_Master!$A$2:$D$18,3,FALSE),"")</f>
        <v/>
      </c>
      <c r="F338">
        <f>IFERROR(VLOOKUP(E338,Rep_Targets!$A$2:$D$9,4,FALSE),0)</f>
        <v/>
      </c>
      <c r="G338">
        <f>IF(F338=0,"NO QUOTA FOUND",IF(C338&gt;=F338*0.25,"On Track","Behind"))</f>
        <v/>
      </c>
      <c r="H338">
        <f>C338*IF(B338="West",0.95,1)</f>
        <v/>
      </c>
    </row>
    <row r="339">
      <c r="A339">
        <f>Raw_Bookings!A340</f>
        <v/>
      </c>
      <c r="B339">
        <f>IF(TRIM(LOWER(Raw_Bookings!D340))="east","East",IF(TRIM(LOWER(Raw_Bookings!D340))="west","West",IF(TRIM(LOWER(Raw_Bookings!D340))="central","Central",IF(TRIM(LOWER(Raw_Bookings!D340))="south","South","UNKNOWN"))))</f>
        <v/>
      </c>
      <c r="C339">
        <f>IFERROR(Raw_Bookings!H340*VLOOKUP(Raw_Bookings!I340,Rates!$A$2:$B$6,2,FALSE),Raw_Bookings!H340)</f>
        <v/>
      </c>
      <c r="D339">
        <f>IF(Raw_Bookings!F340="New License","NEW",IF(OR(Raw_Bookings!F340="Renewal",Raw_Bookings!F340="Support"),"RECURRING","OTHER"))</f>
        <v/>
      </c>
      <c r="E339">
        <f>IFERROR(VLOOKUP(Raw_Bookings!G340,Rep_Master!$A$2:$D$18,3,FALSE),"")</f>
        <v/>
      </c>
      <c r="F339">
        <f>IFERROR(VLOOKUP(E339,Rep_Targets!$A$2:$D$9,4,FALSE),0)</f>
        <v/>
      </c>
      <c r="G339">
        <f>IF(F339=0,"NO QUOTA FOUND",IF(C339&gt;=F339*0.25,"On Track","Behind"))</f>
        <v/>
      </c>
      <c r="H339">
        <f>C339*IF(B339="West",0.95,1)</f>
        <v/>
      </c>
    </row>
    <row r="340">
      <c r="A340">
        <f>Raw_Bookings!A341</f>
        <v/>
      </c>
      <c r="B340">
        <f>IF(TRIM(LOWER(Raw_Bookings!D341))="east","East",IF(TRIM(LOWER(Raw_Bookings!D341))="west","West",IF(TRIM(LOWER(Raw_Bookings!D341))="central","Central",IF(TRIM(LOWER(Raw_Bookings!D341))="south","South","UNKNOWN"))))</f>
        <v/>
      </c>
      <c r="C340">
        <f>IFERROR(Raw_Bookings!H341*VLOOKUP(Raw_Bookings!I341,Rates!$A$2:$B$6,2,FALSE),Raw_Bookings!H341)</f>
        <v/>
      </c>
      <c r="D340">
        <f>IF(Raw_Bookings!F341="New License","NEW",IF(OR(Raw_Bookings!F341="Renewal",Raw_Bookings!F341="Support"),"RECURRING","OTHER"))</f>
        <v/>
      </c>
      <c r="E340">
        <f>IFERROR(VLOOKUP(Raw_Bookings!G341,Rep_Master!$A$2:$D$18,3,FALSE),"")</f>
        <v/>
      </c>
      <c r="F340">
        <f>IFERROR(VLOOKUP(E340,Rep_Targets!$A$2:$D$9,4,FALSE),0)</f>
        <v/>
      </c>
      <c r="G340">
        <f>IF(F340=0,"NO QUOTA FOUND",IF(C340&gt;=F340*0.25,"On Track","Behind"))</f>
        <v/>
      </c>
      <c r="H340">
        <f>C340*IF(B340="West",0.95,1)</f>
        <v/>
      </c>
    </row>
    <row r="341">
      <c r="A341">
        <f>Raw_Bookings!A342</f>
        <v/>
      </c>
      <c r="B341">
        <f>IF(TRIM(LOWER(Raw_Bookings!D342))="east","East",IF(TRIM(LOWER(Raw_Bookings!D342))="west","West",IF(TRIM(LOWER(Raw_Bookings!D342))="central","Central",IF(TRIM(LOWER(Raw_Bookings!D342))="south","South","UNKNOWN"))))</f>
        <v/>
      </c>
      <c r="C341">
        <f>IFERROR(Raw_Bookings!H342*VLOOKUP(Raw_Bookings!I342,Rates!$A$2:$B$6,2,FALSE),Raw_Bookings!H342)</f>
        <v/>
      </c>
      <c r="D341">
        <f>IF(Raw_Bookings!F342="New License","NEW",IF(OR(Raw_Bookings!F342="Renewal",Raw_Bookings!F342="Support"),"RECURRING","OTHER"))</f>
        <v/>
      </c>
      <c r="E341">
        <f>IFERROR(VLOOKUP(Raw_Bookings!G342,Rep_Master!$A$2:$D$18,3,FALSE),"")</f>
        <v/>
      </c>
      <c r="F341">
        <f>IFERROR(VLOOKUP(E341,Rep_Targets!$A$2:$D$9,4,FALSE),0)</f>
        <v/>
      </c>
      <c r="G341">
        <f>IF(F341=0,"NO QUOTA FOUND",IF(C341&gt;=F341*0.25,"On Track","Behind"))</f>
        <v/>
      </c>
      <c r="H341">
        <f>C341*IF(B341="West",0.95,1)</f>
        <v/>
      </c>
    </row>
    <row r="342">
      <c r="A342">
        <f>Raw_Bookings!A343</f>
        <v/>
      </c>
      <c r="B342">
        <f>IF(TRIM(LOWER(Raw_Bookings!D343))="east","East",IF(TRIM(LOWER(Raw_Bookings!D343))="west","West",IF(TRIM(LOWER(Raw_Bookings!D343))="central","Central",IF(TRIM(LOWER(Raw_Bookings!D343))="south","South","UNKNOWN"))))</f>
        <v/>
      </c>
      <c r="C342">
        <f>IFERROR(Raw_Bookings!H343*VLOOKUP(Raw_Bookings!I343,Rates!$A$2:$B$6,2,FALSE),Raw_Bookings!H343)</f>
        <v/>
      </c>
      <c r="D342">
        <f>IF(Raw_Bookings!F343="New License","NEW",IF(OR(Raw_Bookings!F343="Renewal",Raw_Bookings!F343="Support"),"RECURRING","OTHER"))</f>
        <v/>
      </c>
      <c r="E342">
        <f>IFERROR(VLOOKUP(Raw_Bookings!G343,Rep_Master!$A$2:$D$18,3,FALSE),"")</f>
        <v/>
      </c>
      <c r="F342">
        <f>IFERROR(VLOOKUP(E342,Rep_Targets!$A$2:$D$9,4,FALSE),0)</f>
        <v/>
      </c>
      <c r="G342">
        <f>IF(F342=0,"NO QUOTA FOUND",IF(C342&gt;=F342*0.25,"On Track","Behind"))</f>
        <v/>
      </c>
      <c r="H342">
        <f>C342*IF(B342="West",0.95,1)</f>
        <v/>
      </c>
    </row>
    <row r="343">
      <c r="A343">
        <f>Raw_Bookings!A344</f>
        <v/>
      </c>
      <c r="B343">
        <f>IF(TRIM(LOWER(Raw_Bookings!D344))="east","East",IF(TRIM(LOWER(Raw_Bookings!D344))="west","West",IF(TRIM(LOWER(Raw_Bookings!D344))="central","Central",IF(TRIM(LOWER(Raw_Bookings!D344))="south","South","UNKNOWN"))))</f>
        <v/>
      </c>
      <c r="C343">
        <f>IFERROR(Raw_Bookings!H344*VLOOKUP(Raw_Bookings!I344,Rates!$A$2:$B$6,2,FALSE),Raw_Bookings!H344)</f>
        <v/>
      </c>
      <c r="D343">
        <f>IF(Raw_Bookings!F344="New License","NEW",IF(OR(Raw_Bookings!F344="Renewal",Raw_Bookings!F344="Support"),"RECURRING","OTHER"))</f>
        <v/>
      </c>
      <c r="E343">
        <f>IFERROR(VLOOKUP(Raw_Bookings!G344,Rep_Master!$A$2:$D$18,3,FALSE),"")</f>
        <v/>
      </c>
      <c r="F343">
        <f>IFERROR(VLOOKUP(E343,Rep_Targets!$A$2:$D$9,4,FALSE),0)</f>
        <v/>
      </c>
      <c r="G343">
        <f>IF(F343=0,"NO QUOTA FOUND",IF(C343&gt;=F343*0.25,"On Track","Behind"))</f>
        <v/>
      </c>
      <c r="H343">
        <f>C343*IF(B343="West",0.95,1)</f>
        <v/>
      </c>
    </row>
    <row r="344">
      <c r="A344">
        <f>Raw_Bookings!A345</f>
        <v/>
      </c>
      <c r="B344">
        <f>IF(TRIM(LOWER(Raw_Bookings!D345))="east","East",IF(TRIM(LOWER(Raw_Bookings!D345))="west","West",IF(TRIM(LOWER(Raw_Bookings!D345))="central","Central",IF(TRIM(LOWER(Raw_Bookings!D345))="south","South","UNKNOWN"))))</f>
        <v/>
      </c>
      <c r="C344">
        <f>IFERROR(Raw_Bookings!H345*VLOOKUP(Raw_Bookings!I345,Rates!$A$2:$B$6,2,FALSE),Raw_Bookings!H345)</f>
        <v/>
      </c>
      <c r="D344">
        <f>IF(Raw_Bookings!F345="New License","NEW",IF(OR(Raw_Bookings!F345="Renewal",Raw_Bookings!F345="Support"),"RECURRING","OTHER"))</f>
        <v/>
      </c>
      <c r="E344">
        <f>IFERROR(VLOOKUP(Raw_Bookings!G345,Rep_Master!$A$2:$D$18,3,FALSE),"")</f>
        <v/>
      </c>
      <c r="F344">
        <f>IFERROR(VLOOKUP(E344,Rep_Targets!$A$2:$D$9,4,FALSE),0)</f>
        <v/>
      </c>
      <c r="G344">
        <f>IF(F344=0,"NO QUOTA FOUND",IF(C344&gt;=F344*0.25,"On Track","Behind"))</f>
        <v/>
      </c>
      <c r="H344">
        <f>C344*IF(B344="West",0.95,1)</f>
        <v/>
      </c>
    </row>
    <row r="345">
      <c r="A345">
        <f>Raw_Bookings!A346</f>
        <v/>
      </c>
      <c r="B345">
        <f>IF(TRIM(LOWER(Raw_Bookings!D346))="east","East",IF(TRIM(LOWER(Raw_Bookings!D346))="west","West",IF(TRIM(LOWER(Raw_Bookings!D346))="central","Central",IF(TRIM(LOWER(Raw_Bookings!D346))="south","South","UNKNOWN"))))</f>
        <v/>
      </c>
      <c r="C345">
        <f>IFERROR(Raw_Bookings!H346*VLOOKUP(Raw_Bookings!I346,Rates!$A$2:$B$6,2,FALSE),Raw_Bookings!H346)</f>
        <v/>
      </c>
      <c r="D345">
        <f>IF(Raw_Bookings!F346="New License","NEW",IF(OR(Raw_Bookings!F346="Renewal",Raw_Bookings!F346="Support"),"RECURRING","OTHER"))</f>
        <v/>
      </c>
      <c r="E345">
        <f>IFERROR(VLOOKUP(Raw_Bookings!G346,Rep_Master!$A$2:$D$18,3,FALSE),"")</f>
        <v/>
      </c>
      <c r="F345">
        <f>IFERROR(VLOOKUP(E345,Rep_Targets!$A$2:$D$9,4,FALSE),0)</f>
        <v/>
      </c>
      <c r="G345">
        <f>IF(F345=0,"NO QUOTA FOUND",IF(C345&gt;=F345*0.25,"On Track","Behind"))</f>
        <v/>
      </c>
      <c r="H345">
        <f>C345*IF(B345="West",0.95,1)</f>
        <v/>
      </c>
    </row>
    <row r="346">
      <c r="A346">
        <f>Raw_Bookings!A347</f>
        <v/>
      </c>
      <c r="B346">
        <f>IF(TRIM(LOWER(Raw_Bookings!D347))="east","East",IF(TRIM(LOWER(Raw_Bookings!D347))="west","West",IF(TRIM(LOWER(Raw_Bookings!D347))="central","Central",IF(TRIM(LOWER(Raw_Bookings!D347))="south","South","UNKNOWN"))))</f>
        <v/>
      </c>
      <c r="C346">
        <f>IFERROR(Raw_Bookings!H347*VLOOKUP(Raw_Bookings!I347,Rates!$A$2:$B$6,2,FALSE),Raw_Bookings!H347)</f>
        <v/>
      </c>
      <c r="D346">
        <f>IF(Raw_Bookings!F347="New License","NEW",IF(OR(Raw_Bookings!F347="Renewal",Raw_Bookings!F347="Support"),"RECURRING","OTHER"))</f>
        <v/>
      </c>
      <c r="E346">
        <f>IFERROR(VLOOKUP(Raw_Bookings!G347,Rep_Master!$A$2:$D$18,3,FALSE),"")</f>
        <v/>
      </c>
      <c r="F346">
        <f>IFERROR(VLOOKUP(E346,Rep_Targets!$A$2:$D$9,4,FALSE),0)</f>
        <v/>
      </c>
      <c r="G346">
        <f>IF(F346=0,"NO QUOTA FOUND",IF(C346&gt;=F346*0.25,"On Track","Behind"))</f>
        <v/>
      </c>
      <c r="H346">
        <f>C346*IF(B346="West",0.95,1)</f>
        <v/>
      </c>
    </row>
    <row r="347">
      <c r="A347">
        <f>Raw_Bookings!A348</f>
        <v/>
      </c>
      <c r="B347">
        <f>IF(TRIM(LOWER(Raw_Bookings!D348))="east","East",IF(TRIM(LOWER(Raw_Bookings!D348))="west","West",IF(TRIM(LOWER(Raw_Bookings!D348))="central","Central",IF(TRIM(LOWER(Raw_Bookings!D348))="south","South","UNKNOWN"))))</f>
        <v/>
      </c>
      <c r="C347">
        <f>IFERROR(Raw_Bookings!H348*VLOOKUP(Raw_Bookings!I348,Rates!$A$2:$B$6,2,FALSE),Raw_Bookings!H348)</f>
        <v/>
      </c>
      <c r="D347">
        <f>IF(Raw_Bookings!F348="New License","NEW",IF(OR(Raw_Bookings!F348="Renewal",Raw_Bookings!F348="Support"),"RECURRING","OTHER"))</f>
        <v/>
      </c>
      <c r="E347">
        <f>IFERROR(VLOOKUP(Raw_Bookings!G348,Rep_Master!$A$2:$D$18,3,FALSE),"")</f>
        <v/>
      </c>
      <c r="F347">
        <f>IFERROR(VLOOKUP(E347,Rep_Targets!$A$2:$D$9,4,FALSE),0)</f>
        <v/>
      </c>
      <c r="G347">
        <f>IF(F347=0,"NO QUOTA FOUND",IF(C347&gt;=F347*0.25,"On Track","Behind"))</f>
        <v/>
      </c>
      <c r="H347">
        <f>C347*IF(B347="West",0.95,1)</f>
        <v/>
      </c>
    </row>
    <row r="348">
      <c r="A348">
        <f>Raw_Bookings!A349</f>
        <v/>
      </c>
      <c r="B348">
        <f>IF(TRIM(LOWER(Raw_Bookings!D349))="east","East",IF(TRIM(LOWER(Raw_Bookings!D349))="west","West",IF(TRIM(LOWER(Raw_Bookings!D349))="central","Central",IF(TRIM(LOWER(Raw_Bookings!D349))="south","South","UNKNOWN"))))</f>
        <v/>
      </c>
      <c r="C348">
        <f>IFERROR(Raw_Bookings!H349*VLOOKUP(Raw_Bookings!I349,Rates!$A$2:$B$6,2,FALSE),Raw_Bookings!H349)</f>
        <v/>
      </c>
      <c r="D348">
        <f>IF(Raw_Bookings!F349="New License","NEW",IF(OR(Raw_Bookings!F349="Renewal",Raw_Bookings!F349="Support"),"RECURRING","OTHER"))</f>
        <v/>
      </c>
      <c r="E348">
        <f>IFERROR(VLOOKUP(Raw_Bookings!G349,Rep_Master!$A$2:$D$18,3,FALSE),"")</f>
        <v/>
      </c>
      <c r="F348">
        <f>IFERROR(VLOOKUP(E348,Rep_Targets!$A$2:$D$9,4,FALSE),0)</f>
        <v/>
      </c>
      <c r="G348">
        <f>IF(F348=0,"NO QUOTA FOUND",IF(C348&gt;=F348*0.25,"On Track","Behind"))</f>
        <v/>
      </c>
      <c r="H348">
        <f>C348*IF(B348="West",0.95,1)</f>
        <v/>
      </c>
    </row>
    <row r="349">
      <c r="A349">
        <f>Raw_Bookings!A350</f>
        <v/>
      </c>
      <c r="B349">
        <f>IF(TRIM(LOWER(Raw_Bookings!D350))="east","East",IF(TRIM(LOWER(Raw_Bookings!D350))="west","West",IF(TRIM(LOWER(Raw_Bookings!D350))="central","Central",IF(TRIM(LOWER(Raw_Bookings!D350))="south","South","UNKNOWN"))))</f>
        <v/>
      </c>
      <c r="C349">
        <f>IFERROR(Raw_Bookings!H350*VLOOKUP(Raw_Bookings!I350,Rates!$A$2:$B$6,2,FALSE),Raw_Bookings!H350)</f>
        <v/>
      </c>
      <c r="D349">
        <f>IF(Raw_Bookings!F350="New License","NEW",IF(OR(Raw_Bookings!F350="Renewal",Raw_Bookings!F350="Support"),"RECURRING","OTHER"))</f>
        <v/>
      </c>
      <c r="E349">
        <f>IFERROR(VLOOKUP(Raw_Bookings!G350,Rep_Master!$A$2:$D$18,3,FALSE),"")</f>
        <v/>
      </c>
      <c r="F349">
        <f>IFERROR(VLOOKUP(E349,Rep_Targets!$A$2:$D$9,4,FALSE),0)</f>
        <v/>
      </c>
      <c r="G349">
        <f>IF(F349=0,"NO QUOTA FOUND",IF(C349&gt;=F349*0.25,"On Track","Behind"))</f>
        <v/>
      </c>
      <c r="H349">
        <f>C349*IF(B349="West",0.95,1)</f>
        <v/>
      </c>
    </row>
    <row r="350">
      <c r="A350">
        <f>Raw_Bookings!A351</f>
        <v/>
      </c>
      <c r="B350">
        <f>IF(TRIM(LOWER(Raw_Bookings!D351))="east","East",IF(TRIM(LOWER(Raw_Bookings!D351))="west","West",IF(TRIM(LOWER(Raw_Bookings!D351))="central","Central",IF(TRIM(LOWER(Raw_Bookings!D351))="south","South","UNKNOWN"))))</f>
        <v/>
      </c>
      <c r="C350">
        <f>IFERROR(Raw_Bookings!H351*VLOOKUP(Raw_Bookings!I351,Rates!$A$2:$B$6,2,FALSE),Raw_Bookings!H351)</f>
        <v/>
      </c>
      <c r="D350">
        <f>IF(Raw_Bookings!F351="New License","NEW",IF(OR(Raw_Bookings!F351="Renewal",Raw_Bookings!F351="Support"),"RECURRING","OTHER"))</f>
        <v/>
      </c>
      <c r="E350">
        <f>IFERROR(VLOOKUP(Raw_Bookings!G351,Rep_Master!$A$2:$D$18,3,FALSE),"")</f>
        <v/>
      </c>
      <c r="F350">
        <f>IFERROR(VLOOKUP(E350,Rep_Targets!$A$2:$D$9,4,FALSE),0)</f>
        <v/>
      </c>
      <c r="G350">
        <f>IF(F350=0,"NO QUOTA FOUND",IF(C350&gt;=F350*0.25,"On Track","Behind"))</f>
        <v/>
      </c>
      <c r="H350">
        <f>C350*IF(B350="West",0.95,1)</f>
        <v/>
      </c>
    </row>
    <row r="351">
      <c r="A351">
        <f>Raw_Bookings!A352</f>
        <v/>
      </c>
      <c r="B351">
        <f>IF(TRIM(LOWER(Raw_Bookings!D352))="east","East",IF(TRIM(LOWER(Raw_Bookings!D352))="west","West",IF(TRIM(LOWER(Raw_Bookings!D352))="central","Central",IF(TRIM(LOWER(Raw_Bookings!D352))="south","South","UNKNOWN"))))</f>
        <v/>
      </c>
      <c r="C351">
        <f>IFERROR(Raw_Bookings!H352*VLOOKUP(Raw_Bookings!I352,Rates!$A$2:$B$6,2,FALSE),Raw_Bookings!H352)</f>
        <v/>
      </c>
      <c r="D351">
        <f>IF(Raw_Bookings!F352="New License","NEW",IF(OR(Raw_Bookings!F352="Renewal",Raw_Bookings!F352="Support"),"RECURRING","OTHER"))</f>
        <v/>
      </c>
      <c r="E351">
        <f>IFERROR(VLOOKUP(Raw_Bookings!G352,Rep_Master!$A$2:$D$18,3,FALSE),"")</f>
        <v/>
      </c>
      <c r="F351">
        <f>IFERROR(VLOOKUP(E351,Rep_Targets!$A$2:$D$9,4,FALSE),0)</f>
        <v/>
      </c>
      <c r="G351">
        <f>IF(F351=0,"NO QUOTA FOUND",IF(C351&gt;=F351*0.25,"On Track","Behind"))</f>
        <v/>
      </c>
      <c r="H351">
        <f>C351*IF(B351="West",0.95,1)</f>
        <v/>
      </c>
    </row>
    <row r="352">
      <c r="A352">
        <f>Raw_Bookings!A353</f>
        <v/>
      </c>
      <c r="B352">
        <f>IF(TRIM(LOWER(Raw_Bookings!D353))="east","East",IF(TRIM(LOWER(Raw_Bookings!D353))="west","West",IF(TRIM(LOWER(Raw_Bookings!D353))="central","Central",IF(TRIM(LOWER(Raw_Bookings!D353))="south","South","UNKNOWN"))))</f>
        <v/>
      </c>
      <c r="C352">
        <f>IFERROR(Raw_Bookings!H353*VLOOKUP(Raw_Bookings!I353,Rates!$A$2:$B$6,2,FALSE),Raw_Bookings!H353)</f>
        <v/>
      </c>
      <c r="D352">
        <f>IF(Raw_Bookings!F353="New License","NEW",IF(OR(Raw_Bookings!F353="Renewal",Raw_Bookings!F353="Support"),"RECURRING","OTHER"))</f>
        <v/>
      </c>
      <c r="E352">
        <f>IFERROR(VLOOKUP(Raw_Bookings!G353,Rep_Master!$A$2:$D$18,3,FALSE),"")</f>
        <v/>
      </c>
      <c r="F352">
        <f>IFERROR(VLOOKUP(E352,Rep_Targets!$A$2:$D$9,4,FALSE),0)</f>
        <v/>
      </c>
      <c r="G352">
        <f>IF(F352=0,"NO QUOTA FOUND",IF(C352&gt;=F352*0.25,"On Track","Behind"))</f>
        <v/>
      </c>
      <c r="H352">
        <f>C352*IF(B352="West",0.95,1)</f>
        <v/>
      </c>
    </row>
    <row r="353">
      <c r="A353">
        <f>Raw_Bookings!A354</f>
        <v/>
      </c>
      <c r="B353">
        <f>IF(TRIM(LOWER(Raw_Bookings!D354))="east","East",IF(TRIM(LOWER(Raw_Bookings!D354))="west","West",IF(TRIM(LOWER(Raw_Bookings!D354))="central","Central",IF(TRIM(LOWER(Raw_Bookings!D354))="south","South","UNKNOWN"))))</f>
        <v/>
      </c>
      <c r="C353">
        <f>IFERROR(Raw_Bookings!H354*VLOOKUP(Raw_Bookings!I354,Rates!$A$2:$B$6,2,FALSE),Raw_Bookings!H354)</f>
        <v/>
      </c>
      <c r="D353">
        <f>IF(Raw_Bookings!F354="New License","NEW",IF(OR(Raw_Bookings!F354="Renewal",Raw_Bookings!F354="Support"),"RECURRING","OTHER"))</f>
        <v/>
      </c>
      <c r="E353">
        <f>IFERROR(VLOOKUP(Raw_Bookings!G354,Rep_Master!$A$2:$D$18,3,FALSE),"")</f>
        <v/>
      </c>
      <c r="F353">
        <f>IFERROR(VLOOKUP(E353,Rep_Targets!$A$2:$D$9,4,FALSE),0)</f>
        <v/>
      </c>
      <c r="G353">
        <f>IF(F353=0,"NO QUOTA FOUND",IF(C353&gt;=F353*0.25,"On Track","Behind"))</f>
        <v/>
      </c>
      <c r="H353">
        <f>C353*IF(B353="West",0.95,1)</f>
        <v/>
      </c>
    </row>
    <row r="354">
      <c r="A354">
        <f>Raw_Bookings!A355</f>
        <v/>
      </c>
      <c r="B354">
        <f>IF(TRIM(LOWER(Raw_Bookings!D355))="east","East",IF(TRIM(LOWER(Raw_Bookings!D355))="west","West",IF(TRIM(LOWER(Raw_Bookings!D355))="central","Central",IF(TRIM(LOWER(Raw_Bookings!D355))="south","South","UNKNOWN"))))</f>
        <v/>
      </c>
      <c r="C354">
        <f>IFERROR(Raw_Bookings!H355*VLOOKUP(Raw_Bookings!I355,Rates!$A$2:$B$6,2,FALSE),Raw_Bookings!H355)</f>
        <v/>
      </c>
      <c r="D354">
        <f>IF(Raw_Bookings!F355="New License","NEW",IF(OR(Raw_Bookings!F355="Renewal",Raw_Bookings!F355="Support"),"RECURRING","OTHER"))</f>
        <v/>
      </c>
      <c r="E354">
        <f>IFERROR(VLOOKUP(Raw_Bookings!G355,Rep_Master!$A$2:$D$18,3,FALSE),"")</f>
        <v/>
      </c>
      <c r="F354">
        <f>IFERROR(VLOOKUP(E354,Rep_Targets!$A$2:$D$9,4,FALSE),0)</f>
        <v/>
      </c>
      <c r="G354">
        <f>IF(F354=0,"NO QUOTA FOUND",IF(C354&gt;=F354*0.25,"On Track","Behind"))</f>
        <v/>
      </c>
      <c r="H354">
        <f>C354*IF(B354="West",0.95,1)</f>
        <v/>
      </c>
    </row>
    <row r="355">
      <c r="A355">
        <f>Raw_Bookings!A356</f>
        <v/>
      </c>
      <c r="B355">
        <f>IF(TRIM(LOWER(Raw_Bookings!D356))="east","East",IF(TRIM(LOWER(Raw_Bookings!D356))="west","West",IF(TRIM(LOWER(Raw_Bookings!D356))="central","Central",IF(TRIM(LOWER(Raw_Bookings!D356))="south","South","UNKNOWN"))))</f>
        <v/>
      </c>
      <c r="C355">
        <f>IFERROR(Raw_Bookings!H356*VLOOKUP(Raw_Bookings!I356,Rates!$A$2:$B$6,2,FALSE),Raw_Bookings!H356)</f>
        <v/>
      </c>
      <c r="D355">
        <f>IF(Raw_Bookings!F356="New License","NEW",IF(OR(Raw_Bookings!F356="Renewal",Raw_Bookings!F356="Support"),"RECURRING","OTHER"))</f>
        <v/>
      </c>
      <c r="E355">
        <f>IFERROR(VLOOKUP(Raw_Bookings!G356,Rep_Master!$A$2:$D$18,3,FALSE),"")</f>
        <v/>
      </c>
      <c r="F355">
        <f>IFERROR(VLOOKUP(E355,Rep_Targets!$A$2:$D$9,4,FALSE),0)</f>
        <v/>
      </c>
      <c r="G355">
        <f>IF(F355=0,"NO QUOTA FOUND",IF(C355&gt;=F355*0.25,"On Track","Behind"))</f>
        <v/>
      </c>
      <c r="H355">
        <f>C355*IF(B355="West",0.95,1)</f>
        <v/>
      </c>
    </row>
    <row r="356">
      <c r="A356">
        <f>Raw_Bookings!A357</f>
        <v/>
      </c>
      <c r="B356">
        <f>IF(TRIM(LOWER(Raw_Bookings!D357))="east","East",IF(TRIM(LOWER(Raw_Bookings!D357))="west","West",IF(TRIM(LOWER(Raw_Bookings!D357))="central","Central",IF(TRIM(LOWER(Raw_Bookings!D357))="south","South","UNKNOWN"))))</f>
        <v/>
      </c>
      <c r="C356">
        <f>IFERROR(Raw_Bookings!H357*VLOOKUP(Raw_Bookings!I357,Rates!$A$2:$B$6,2,FALSE),Raw_Bookings!H357)</f>
        <v/>
      </c>
      <c r="D356">
        <f>IF(Raw_Bookings!F357="New License","NEW",IF(OR(Raw_Bookings!F357="Renewal",Raw_Bookings!F357="Support"),"RECURRING","OTHER"))</f>
        <v/>
      </c>
      <c r="E356">
        <f>IFERROR(VLOOKUP(Raw_Bookings!G357,Rep_Master!$A$2:$D$18,3,FALSE),"")</f>
        <v/>
      </c>
      <c r="F356">
        <f>IFERROR(VLOOKUP(E356,Rep_Targets!$A$2:$D$9,4,FALSE),0)</f>
        <v/>
      </c>
      <c r="G356">
        <f>IF(F356=0,"NO QUOTA FOUND",IF(C356&gt;=F356*0.25,"On Track","Behind"))</f>
        <v/>
      </c>
      <c r="H356">
        <f>C356*IF(B356="West",0.95,1)</f>
        <v/>
      </c>
    </row>
    <row r="357">
      <c r="A357">
        <f>Raw_Bookings!A358</f>
        <v/>
      </c>
      <c r="B357">
        <f>IF(TRIM(LOWER(Raw_Bookings!D358))="east","East",IF(TRIM(LOWER(Raw_Bookings!D358))="west","West",IF(TRIM(LOWER(Raw_Bookings!D358))="central","Central",IF(TRIM(LOWER(Raw_Bookings!D358))="south","South","UNKNOWN"))))</f>
        <v/>
      </c>
      <c r="C357">
        <f>IFERROR(Raw_Bookings!H358*VLOOKUP(Raw_Bookings!I358,Rates!$A$2:$B$6,2,FALSE),Raw_Bookings!H358)</f>
        <v/>
      </c>
      <c r="D357">
        <f>IF(Raw_Bookings!F358="New License","NEW",IF(OR(Raw_Bookings!F358="Renewal",Raw_Bookings!F358="Support"),"RECURRING","OTHER"))</f>
        <v/>
      </c>
      <c r="E357">
        <f>IFERROR(VLOOKUP(Raw_Bookings!G358,Rep_Master!$A$2:$D$18,3,FALSE),"")</f>
        <v/>
      </c>
      <c r="F357">
        <f>IFERROR(VLOOKUP(E357,Rep_Targets!$A$2:$D$9,4,FALSE),0)</f>
        <v/>
      </c>
      <c r="G357">
        <f>IF(F357=0,"NO QUOTA FOUND",IF(C357&gt;=F357*0.25,"On Track","Behind"))</f>
        <v/>
      </c>
      <c r="H357">
        <f>C357*IF(B357="West",0.95,1)</f>
        <v/>
      </c>
    </row>
    <row r="358">
      <c r="A358">
        <f>Raw_Bookings!A359</f>
        <v/>
      </c>
      <c r="B358">
        <f>IF(TRIM(LOWER(Raw_Bookings!D359))="east","East",IF(TRIM(LOWER(Raw_Bookings!D359))="west","West",IF(TRIM(LOWER(Raw_Bookings!D359))="central","Central",IF(TRIM(LOWER(Raw_Bookings!D359))="south","South","UNKNOWN"))))</f>
        <v/>
      </c>
      <c r="C358">
        <f>IFERROR(Raw_Bookings!H359*VLOOKUP(Raw_Bookings!I359,Rates!$A$2:$B$6,2,FALSE),Raw_Bookings!H359)</f>
        <v/>
      </c>
      <c r="D358">
        <f>IF(Raw_Bookings!F359="New License","NEW",IF(OR(Raw_Bookings!F359="Renewal",Raw_Bookings!F359="Support"),"RECURRING","OTHER"))</f>
        <v/>
      </c>
      <c r="E358">
        <f>IFERROR(VLOOKUP(Raw_Bookings!G359,Rep_Master!$A$2:$D$18,3,FALSE),"")</f>
        <v/>
      </c>
      <c r="F358">
        <f>IFERROR(VLOOKUP(E358,Rep_Targets!$A$2:$D$9,4,FALSE),0)</f>
        <v/>
      </c>
      <c r="G358">
        <f>IF(F358=0,"NO QUOTA FOUND",IF(C358&gt;=F358*0.25,"On Track","Behind"))</f>
        <v/>
      </c>
      <c r="H358">
        <f>C358*IF(B358="West",0.95,1)</f>
        <v/>
      </c>
    </row>
    <row r="359">
      <c r="A359">
        <f>Raw_Bookings!A360</f>
        <v/>
      </c>
      <c r="B359">
        <f>IF(TRIM(LOWER(Raw_Bookings!D360))="east","East",IF(TRIM(LOWER(Raw_Bookings!D360))="west","West",IF(TRIM(LOWER(Raw_Bookings!D360))="central","Central",IF(TRIM(LOWER(Raw_Bookings!D360))="south","South","UNKNOWN"))))</f>
        <v/>
      </c>
      <c r="C359">
        <f>IFERROR(Raw_Bookings!H360*VLOOKUP(Raw_Bookings!I360,Rates!$A$2:$B$6,2,FALSE),Raw_Bookings!H360)</f>
        <v/>
      </c>
      <c r="D359">
        <f>IF(Raw_Bookings!F360="New License","NEW",IF(OR(Raw_Bookings!F360="Renewal",Raw_Bookings!F360="Support"),"RECURRING","OTHER"))</f>
        <v/>
      </c>
      <c r="E359">
        <f>IFERROR(VLOOKUP(Raw_Bookings!G360,Rep_Master!$A$2:$D$18,3,FALSE),"")</f>
        <v/>
      </c>
      <c r="F359">
        <f>IFERROR(VLOOKUP(E359,Rep_Targets!$A$2:$D$9,4,FALSE),0)</f>
        <v/>
      </c>
      <c r="G359">
        <f>IF(F359=0,"NO QUOTA FOUND",IF(C359&gt;=F359*0.25,"On Track","Behind"))</f>
        <v/>
      </c>
      <c r="H359">
        <f>C359*IF(B359="West",0.95,1)</f>
        <v/>
      </c>
    </row>
    <row r="360">
      <c r="A360">
        <f>Raw_Bookings!A361</f>
        <v/>
      </c>
      <c r="B360">
        <f>IF(TRIM(LOWER(Raw_Bookings!D361))="east","East",IF(TRIM(LOWER(Raw_Bookings!D361))="west","West",IF(TRIM(LOWER(Raw_Bookings!D361))="central","Central",IF(TRIM(LOWER(Raw_Bookings!D361))="south","South","UNKNOWN"))))</f>
        <v/>
      </c>
      <c r="C360">
        <f>IFERROR(Raw_Bookings!H361*VLOOKUP(Raw_Bookings!I361,Rates!$A$2:$B$6,2,FALSE),Raw_Bookings!H361)</f>
        <v/>
      </c>
      <c r="D360">
        <f>IF(Raw_Bookings!F361="New License","NEW",IF(OR(Raw_Bookings!F361="Renewal",Raw_Bookings!F361="Support"),"RECURRING","OTHER"))</f>
        <v/>
      </c>
      <c r="E360">
        <f>IFERROR(VLOOKUP(Raw_Bookings!G361,Rep_Master!$A$2:$D$18,3,FALSE),"")</f>
        <v/>
      </c>
      <c r="F360">
        <f>IFERROR(VLOOKUP(E360,Rep_Targets!$A$2:$D$9,4,FALSE),0)</f>
        <v/>
      </c>
      <c r="G360">
        <f>IF(F360=0,"NO QUOTA FOUND",IF(C360&gt;=F360*0.25,"On Track","Behind"))</f>
        <v/>
      </c>
      <c r="H360">
        <f>C360*IF(B360="West",0.95,1)</f>
        <v/>
      </c>
    </row>
    <row r="361">
      <c r="A361">
        <f>Raw_Bookings!A362</f>
        <v/>
      </c>
      <c r="B361">
        <f>IF(TRIM(LOWER(Raw_Bookings!D362))="east","East",IF(TRIM(LOWER(Raw_Bookings!D362))="west","West",IF(TRIM(LOWER(Raw_Bookings!D362))="central","Central",IF(TRIM(LOWER(Raw_Bookings!D362))="south","South","UNKNOWN"))))</f>
        <v/>
      </c>
      <c r="C361">
        <f>IFERROR(Raw_Bookings!H362*VLOOKUP(Raw_Bookings!I362,Rates!$A$2:$B$6,2,FALSE),Raw_Bookings!H362)</f>
        <v/>
      </c>
      <c r="D361">
        <f>IF(Raw_Bookings!F362="New License","NEW",IF(OR(Raw_Bookings!F362="Renewal",Raw_Bookings!F362="Support"),"RECURRING","OTHER"))</f>
        <v/>
      </c>
      <c r="E361">
        <f>IFERROR(VLOOKUP(Raw_Bookings!G362,Rep_Master!$A$2:$D$18,3,FALSE),"")</f>
        <v/>
      </c>
      <c r="F361">
        <f>IFERROR(VLOOKUP(E361,Rep_Targets!$A$2:$D$9,4,FALSE),0)</f>
        <v/>
      </c>
      <c r="G361">
        <f>IF(F361=0,"NO QUOTA FOUND",IF(C361&gt;=F361*0.25,"On Track","Behind"))</f>
        <v/>
      </c>
      <c r="H361">
        <f>C361*IF(B361="West",0.95,1)</f>
        <v/>
      </c>
    </row>
    <row r="362">
      <c r="A362">
        <f>Raw_Bookings!A363</f>
        <v/>
      </c>
      <c r="B362">
        <f>IF(TRIM(LOWER(Raw_Bookings!D363))="east","East",IF(TRIM(LOWER(Raw_Bookings!D363))="west","West",IF(TRIM(LOWER(Raw_Bookings!D363))="central","Central",IF(TRIM(LOWER(Raw_Bookings!D363))="south","South","UNKNOWN"))))</f>
        <v/>
      </c>
      <c r="C362">
        <f>IFERROR(Raw_Bookings!H363*VLOOKUP(Raw_Bookings!I363,Rates!$A$2:$B$6,2,FALSE),Raw_Bookings!H363)</f>
        <v/>
      </c>
      <c r="D362">
        <f>IF(Raw_Bookings!F363="New License","NEW",IF(OR(Raw_Bookings!F363="Renewal",Raw_Bookings!F363="Support"),"RECURRING","OTHER"))</f>
        <v/>
      </c>
      <c r="E362">
        <f>IFERROR(VLOOKUP(Raw_Bookings!G363,Rep_Master!$A$2:$D$18,3,FALSE),"")</f>
        <v/>
      </c>
      <c r="F362">
        <f>IFERROR(VLOOKUP(E362,Rep_Targets!$A$2:$D$9,4,FALSE),0)</f>
        <v/>
      </c>
      <c r="G362">
        <f>IF(F362=0,"NO QUOTA FOUND",IF(C362&gt;=F362*0.25,"On Track","Behind"))</f>
        <v/>
      </c>
      <c r="H362">
        <f>C362*IF(B362="West",0.95,1)</f>
        <v/>
      </c>
    </row>
    <row r="363">
      <c r="A363">
        <f>Raw_Bookings!A364</f>
        <v/>
      </c>
      <c r="B363">
        <f>IF(TRIM(LOWER(Raw_Bookings!D364))="east","East",IF(TRIM(LOWER(Raw_Bookings!D364))="west","West",IF(TRIM(LOWER(Raw_Bookings!D364))="central","Central",IF(TRIM(LOWER(Raw_Bookings!D364))="south","South","UNKNOWN"))))</f>
        <v/>
      </c>
      <c r="C363">
        <f>IFERROR(Raw_Bookings!H364*VLOOKUP(Raw_Bookings!I364,Rates!$A$2:$B$6,2,FALSE),Raw_Bookings!H364)</f>
        <v/>
      </c>
      <c r="D363">
        <f>IF(Raw_Bookings!F364="New License","NEW",IF(OR(Raw_Bookings!F364="Renewal",Raw_Bookings!F364="Support"),"RECURRING","OTHER"))</f>
        <v/>
      </c>
      <c r="E363">
        <f>IFERROR(VLOOKUP(Raw_Bookings!G364,Rep_Master!$A$2:$D$18,3,FALSE),"")</f>
        <v/>
      </c>
      <c r="F363">
        <f>IFERROR(VLOOKUP(E363,Rep_Targets!$A$2:$D$9,4,FALSE),0)</f>
        <v/>
      </c>
      <c r="G363">
        <f>IF(F363=0,"NO QUOTA FOUND",IF(C363&gt;=F363*0.25,"On Track","Behind"))</f>
        <v/>
      </c>
      <c r="H363">
        <f>C363*IF(B363="West",0.95,1)</f>
        <v/>
      </c>
    </row>
    <row r="364">
      <c r="A364">
        <f>Raw_Bookings!A365</f>
        <v/>
      </c>
      <c r="B364">
        <f>IF(TRIM(LOWER(Raw_Bookings!D365))="east","East",IF(TRIM(LOWER(Raw_Bookings!D365))="west","West",IF(TRIM(LOWER(Raw_Bookings!D365))="central","Central",IF(TRIM(LOWER(Raw_Bookings!D365))="south","South","UNKNOWN"))))</f>
        <v/>
      </c>
      <c r="C364">
        <f>IFERROR(Raw_Bookings!H365*VLOOKUP(Raw_Bookings!I365,Rates!$A$2:$B$6,2,FALSE),Raw_Bookings!H365)</f>
        <v/>
      </c>
      <c r="D364">
        <f>IF(Raw_Bookings!F365="New License","NEW",IF(OR(Raw_Bookings!F365="Renewal",Raw_Bookings!F365="Support"),"RECURRING","OTHER"))</f>
        <v/>
      </c>
      <c r="E364">
        <f>IFERROR(VLOOKUP(Raw_Bookings!G365,Rep_Master!$A$2:$D$18,3,FALSE),"")</f>
        <v/>
      </c>
      <c r="F364">
        <f>IFERROR(VLOOKUP(E364,Rep_Targets!$A$2:$D$9,4,FALSE),0)</f>
        <v/>
      </c>
      <c r="G364">
        <f>IF(F364=0,"NO QUOTA FOUND",IF(C364&gt;=F364*0.25,"On Track","Behind"))</f>
        <v/>
      </c>
      <c r="H364">
        <f>C364*IF(B364="West",0.95,1)</f>
        <v/>
      </c>
    </row>
    <row r="365">
      <c r="A365">
        <f>Raw_Bookings!A366</f>
        <v/>
      </c>
      <c r="B365">
        <f>IF(TRIM(LOWER(Raw_Bookings!D366))="east","East",IF(TRIM(LOWER(Raw_Bookings!D366))="west","West",IF(TRIM(LOWER(Raw_Bookings!D366))="central","Central",IF(TRIM(LOWER(Raw_Bookings!D366))="south","South","UNKNOWN"))))</f>
        <v/>
      </c>
      <c r="C365">
        <f>IFERROR(Raw_Bookings!H366*VLOOKUP(Raw_Bookings!I366,Rates!$A$2:$B$6,2,FALSE),Raw_Bookings!H366)</f>
        <v/>
      </c>
      <c r="D365">
        <f>IF(Raw_Bookings!F366="New License","NEW",IF(OR(Raw_Bookings!F366="Renewal",Raw_Bookings!F366="Support"),"RECURRING","OTHER"))</f>
        <v/>
      </c>
      <c r="E365">
        <f>IFERROR(VLOOKUP(Raw_Bookings!G366,Rep_Master!$A$2:$D$18,3,FALSE),"")</f>
        <v/>
      </c>
      <c r="F365">
        <f>IFERROR(VLOOKUP(E365,Rep_Targets!$A$2:$D$9,4,FALSE),0)</f>
        <v/>
      </c>
      <c r="G365">
        <f>IF(F365=0,"NO QUOTA FOUND",IF(C365&gt;=F365*0.25,"On Track","Behind"))</f>
        <v/>
      </c>
      <c r="H365">
        <f>C365*IF(B365="West",0.95,1)</f>
        <v/>
      </c>
    </row>
    <row r="366">
      <c r="A366">
        <f>Raw_Bookings!A367</f>
        <v/>
      </c>
      <c r="B366">
        <f>IF(TRIM(LOWER(Raw_Bookings!D367))="east","East",IF(TRIM(LOWER(Raw_Bookings!D367))="west","West",IF(TRIM(LOWER(Raw_Bookings!D367))="central","Central",IF(TRIM(LOWER(Raw_Bookings!D367))="south","South","UNKNOWN"))))</f>
        <v/>
      </c>
      <c r="C366">
        <f>IFERROR(Raw_Bookings!H367*VLOOKUP(Raw_Bookings!I367,Rates!$A$2:$B$6,2,FALSE),Raw_Bookings!H367)</f>
        <v/>
      </c>
      <c r="D366">
        <f>IF(Raw_Bookings!F367="New License","NEW",IF(OR(Raw_Bookings!F367="Renewal",Raw_Bookings!F367="Support"),"RECURRING","OTHER"))</f>
        <v/>
      </c>
      <c r="E366">
        <f>IFERROR(VLOOKUP(Raw_Bookings!G367,Rep_Master!$A$2:$D$18,3,FALSE),"")</f>
        <v/>
      </c>
      <c r="F366">
        <f>IFERROR(VLOOKUP(E366,Rep_Targets!$A$2:$D$9,4,FALSE),0)</f>
        <v/>
      </c>
      <c r="G366">
        <f>IF(F366=0,"NO QUOTA FOUND",IF(C366&gt;=F366*0.25,"On Track","Behind"))</f>
        <v/>
      </c>
      <c r="H366">
        <f>C366*IF(B366="West",0.95,1)</f>
        <v/>
      </c>
    </row>
    <row r="367">
      <c r="A367">
        <f>Raw_Bookings!A368</f>
        <v/>
      </c>
      <c r="B367">
        <f>IF(TRIM(LOWER(Raw_Bookings!D368))="east","East",IF(TRIM(LOWER(Raw_Bookings!D368))="west","West",IF(TRIM(LOWER(Raw_Bookings!D368))="central","Central",IF(TRIM(LOWER(Raw_Bookings!D368))="south","South","UNKNOWN"))))</f>
        <v/>
      </c>
      <c r="C367">
        <f>IFERROR(Raw_Bookings!H368*VLOOKUP(Raw_Bookings!I368,Rates!$A$2:$B$6,2,FALSE),Raw_Bookings!H368)</f>
        <v/>
      </c>
      <c r="D367">
        <f>IF(Raw_Bookings!F368="New License","NEW",IF(OR(Raw_Bookings!F368="Renewal",Raw_Bookings!F368="Support"),"RECURRING","OTHER"))</f>
        <v/>
      </c>
      <c r="E367">
        <f>IFERROR(VLOOKUP(Raw_Bookings!G368,Rep_Master!$A$2:$D$18,3,FALSE),"")</f>
        <v/>
      </c>
      <c r="F367">
        <f>IFERROR(VLOOKUP(E367,Rep_Targets!$A$2:$D$9,4,FALSE),0)</f>
        <v/>
      </c>
      <c r="G367">
        <f>IF(F367=0,"NO QUOTA FOUND",IF(C367&gt;=F367*0.25,"On Track","Behind"))</f>
        <v/>
      </c>
      <c r="H367">
        <f>C367*IF(B367="West",0.95,1)</f>
        <v/>
      </c>
    </row>
    <row r="368">
      <c r="A368">
        <f>Raw_Bookings!A369</f>
        <v/>
      </c>
      <c r="B368">
        <f>IF(TRIM(LOWER(Raw_Bookings!D369))="east","East",IF(TRIM(LOWER(Raw_Bookings!D369))="west","West",IF(TRIM(LOWER(Raw_Bookings!D369))="central","Central",IF(TRIM(LOWER(Raw_Bookings!D369))="south","South","UNKNOWN"))))</f>
        <v/>
      </c>
      <c r="C368">
        <f>IFERROR(Raw_Bookings!H369*VLOOKUP(Raw_Bookings!I369,Rates!$A$2:$B$6,2,FALSE),Raw_Bookings!H369)</f>
        <v/>
      </c>
      <c r="D368">
        <f>IF(Raw_Bookings!F369="New License","NEW",IF(OR(Raw_Bookings!F369="Renewal",Raw_Bookings!F369="Support"),"RECURRING","OTHER"))</f>
        <v/>
      </c>
      <c r="E368">
        <f>IFERROR(VLOOKUP(Raw_Bookings!G369,Rep_Master!$A$2:$D$18,3,FALSE),"")</f>
        <v/>
      </c>
      <c r="F368">
        <f>IFERROR(VLOOKUP(E368,Rep_Targets!$A$2:$D$9,4,FALSE),0)</f>
        <v/>
      </c>
      <c r="G368">
        <f>IF(F368=0,"NO QUOTA FOUND",IF(C368&gt;=F368*0.25,"On Track","Behind"))</f>
        <v/>
      </c>
      <c r="H368">
        <f>C368*IF(B368="West",0.95,1)</f>
        <v/>
      </c>
    </row>
    <row r="369">
      <c r="A369">
        <f>Raw_Bookings!A370</f>
        <v/>
      </c>
      <c r="B369">
        <f>IF(TRIM(LOWER(Raw_Bookings!D370))="east","East",IF(TRIM(LOWER(Raw_Bookings!D370))="west","West",IF(TRIM(LOWER(Raw_Bookings!D370))="central","Central",IF(TRIM(LOWER(Raw_Bookings!D370))="south","South","UNKNOWN"))))</f>
        <v/>
      </c>
      <c r="C369">
        <f>IFERROR(Raw_Bookings!H370*VLOOKUP(Raw_Bookings!I370,Rates!$A$2:$B$6,2,FALSE),Raw_Bookings!H370)</f>
        <v/>
      </c>
      <c r="D369">
        <f>IF(Raw_Bookings!F370="New License","NEW",IF(OR(Raw_Bookings!F370="Renewal",Raw_Bookings!F370="Support"),"RECURRING","OTHER"))</f>
        <v/>
      </c>
      <c r="E369">
        <f>IFERROR(VLOOKUP(Raw_Bookings!G370,Rep_Master!$A$2:$D$18,3,FALSE),"")</f>
        <v/>
      </c>
      <c r="F369">
        <f>IFERROR(VLOOKUP(E369,Rep_Targets!$A$2:$D$9,4,FALSE),0)</f>
        <v/>
      </c>
      <c r="G369">
        <f>IF(F369=0,"NO QUOTA FOUND",IF(C369&gt;=F369*0.25,"On Track","Behind"))</f>
        <v/>
      </c>
      <c r="H369">
        <f>C369*IF(B369="West",0.95,1)</f>
        <v/>
      </c>
    </row>
    <row r="370">
      <c r="A370">
        <f>Raw_Bookings!A371</f>
        <v/>
      </c>
      <c r="B370">
        <f>IF(TRIM(LOWER(Raw_Bookings!D371))="east","East",IF(TRIM(LOWER(Raw_Bookings!D371))="west","West",IF(TRIM(LOWER(Raw_Bookings!D371))="central","Central",IF(TRIM(LOWER(Raw_Bookings!D371))="south","South","UNKNOWN"))))</f>
        <v/>
      </c>
      <c r="C370">
        <f>IFERROR(Raw_Bookings!H371*VLOOKUP(Raw_Bookings!I371,Rates!$A$2:$B$6,2,FALSE),Raw_Bookings!H371)</f>
        <v/>
      </c>
      <c r="D370">
        <f>IF(Raw_Bookings!F371="New License","NEW",IF(OR(Raw_Bookings!F371="Renewal",Raw_Bookings!F371="Support"),"RECURRING","OTHER"))</f>
        <v/>
      </c>
      <c r="E370">
        <f>IFERROR(VLOOKUP(Raw_Bookings!G371,Rep_Master!$A$2:$D$18,3,FALSE),"")</f>
        <v/>
      </c>
      <c r="F370">
        <f>IFERROR(VLOOKUP(E370,Rep_Targets!$A$2:$D$9,4,FALSE),0)</f>
        <v/>
      </c>
      <c r="G370">
        <f>IF(F370=0,"NO QUOTA FOUND",IF(C370&gt;=F370*0.25,"On Track","Behind"))</f>
        <v/>
      </c>
      <c r="H370">
        <f>C370*IF(B370="West",0.95,1)</f>
        <v/>
      </c>
    </row>
    <row r="371">
      <c r="A371">
        <f>Raw_Bookings!A372</f>
        <v/>
      </c>
      <c r="B371">
        <f>IF(TRIM(LOWER(Raw_Bookings!D372))="east","East",IF(TRIM(LOWER(Raw_Bookings!D372))="west","West",IF(TRIM(LOWER(Raw_Bookings!D372))="central","Central",IF(TRIM(LOWER(Raw_Bookings!D372))="south","South","UNKNOWN"))))</f>
        <v/>
      </c>
      <c r="C371">
        <f>IFERROR(Raw_Bookings!H372*VLOOKUP(Raw_Bookings!I372,Rates!$A$2:$B$6,2,FALSE),Raw_Bookings!H372)</f>
        <v/>
      </c>
      <c r="D371">
        <f>IF(Raw_Bookings!F372="New License","NEW",IF(OR(Raw_Bookings!F372="Renewal",Raw_Bookings!F372="Support"),"RECURRING","OTHER"))</f>
        <v/>
      </c>
      <c r="E371">
        <f>IFERROR(VLOOKUP(Raw_Bookings!G372,Rep_Master!$A$2:$D$18,3,FALSE),"")</f>
        <v/>
      </c>
      <c r="F371">
        <f>IFERROR(VLOOKUP(E371,Rep_Targets!$A$2:$D$9,4,FALSE),0)</f>
        <v/>
      </c>
      <c r="G371">
        <f>IF(F371=0,"NO QUOTA FOUND",IF(C371&gt;=F371*0.25,"On Track","Behind"))</f>
        <v/>
      </c>
      <c r="H371">
        <f>C371*IF(B371="West",0.95,1)</f>
        <v/>
      </c>
    </row>
    <row r="372">
      <c r="A372">
        <f>Raw_Bookings!A373</f>
        <v/>
      </c>
      <c r="B372">
        <f>IF(TRIM(LOWER(Raw_Bookings!D373))="east","East",IF(TRIM(LOWER(Raw_Bookings!D373))="west","West",IF(TRIM(LOWER(Raw_Bookings!D373))="central","Central",IF(TRIM(LOWER(Raw_Bookings!D373))="south","South","UNKNOWN"))))</f>
        <v/>
      </c>
      <c r="C372">
        <f>IFERROR(Raw_Bookings!H373*VLOOKUP(Raw_Bookings!I373,Rates!$A$2:$B$6,2,FALSE),Raw_Bookings!H373)</f>
        <v/>
      </c>
      <c r="D372">
        <f>IF(Raw_Bookings!F373="New License","NEW",IF(OR(Raw_Bookings!F373="Renewal",Raw_Bookings!F373="Support"),"RECURRING","OTHER"))</f>
        <v/>
      </c>
      <c r="E372">
        <f>IFERROR(VLOOKUP(Raw_Bookings!G373,Rep_Master!$A$2:$D$18,3,FALSE),"")</f>
        <v/>
      </c>
      <c r="F372">
        <f>IFERROR(VLOOKUP(E372,Rep_Targets!$A$2:$D$9,4,FALSE),0)</f>
        <v/>
      </c>
      <c r="G372">
        <f>IF(F372=0,"NO QUOTA FOUND",IF(C372&gt;=F372*0.25,"On Track","Behind"))</f>
        <v/>
      </c>
      <c r="H372">
        <f>C372*IF(B372="West",0.95,1)</f>
        <v/>
      </c>
    </row>
    <row r="373">
      <c r="A373">
        <f>Raw_Bookings!A374</f>
        <v/>
      </c>
      <c r="B373">
        <f>IF(TRIM(LOWER(Raw_Bookings!D374))="east","East",IF(TRIM(LOWER(Raw_Bookings!D374))="west","West",IF(TRIM(LOWER(Raw_Bookings!D374))="central","Central",IF(TRIM(LOWER(Raw_Bookings!D374))="south","South","UNKNOWN"))))</f>
        <v/>
      </c>
      <c r="C373">
        <f>IFERROR(Raw_Bookings!H374*VLOOKUP(Raw_Bookings!I374,Rates!$A$2:$B$6,2,FALSE),Raw_Bookings!H374)</f>
        <v/>
      </c>
      <c r="D373">
        <f>IF(Raw_Bookings!F374="New License","NEW",IF(OR(Raw_Bookings!F374="Renewal",Raw_Bookings!F374="Support"),"RECURRING","OTHER"))</f>
        <v/>
      </c>
      <c r="E373">
        <f>IFERROR(VLOOKUP(Raw_Bookings!G374,Rep_Master!$A$2:$D$18,3,FALSE),"")</f>
        <v/>
      </c>
      <c r="F373">
        <f>IFERROR(VLOOKUP(E373,Rep_Targets!$A$2:$D$9,4,FALSE),0)</f>
        <v/>
      </c>
      <c r="G373">
        <f>IF(F373=0,"NO QUOTA FOUND",IF(C373&gt;=F373*0.25,"On Track","Behind"))</f>
        <v/>
      </c>
      <c r="H373">
        <f>C373*IF(B373="West",0.95,1)</f>
        <v/>
      </c>
    </row>
    <row r="374">
      <c r="A374">
        <f>Raw_Bookings!A375</f>
        <v/>
      </c>
      <c r="B374">
        <f>IF(TRIM(LOWER(Raw_Bookings!D375))="east","East",IF(TRIM(LOWER(Raw_Bookings!D375))="west","West",IF(TRIM(LOWER(Raw_Bookings!D375))="central","Central",IF(TRIM(LOWER(Raw_Bookings!D375))="south","South","UNKNOWN"))))</f>
        <v/>
      </c>
      <c r="C374">
        <f>IFERROR(Raw_Bookings!H375*VLOOKUP(Raw_Bookings!I375,Rates!$A$2:$B$6,2,FALSE),Raw_Bookings!H375)</f>
        <v/>
      </c>
      <c r="D374">
        <f>IF(Raw_Bookings!F375="New License","NEW",IF(OR(Raw_Bookings!F375="Renewal",Raw_Bookings!F375="Support"),"RECURRING","OTHER"))</f>
        <v/>
      </c>
      <c r="E374">
        <f>IFERROR(VLOOKUP(Raw_Bookings!G375,Rep_Master!$A$2:$D$18,3,FALSE),"")</f>
        <v/>
      </c>
      <c r="F374">
        <f>IFERROR(VLOOKUP(E374,Rep_Targets!$A$2:$D$9,4,FALSE),0)</f>
        <v/>
      </c>
      <c r="G374">
        <f>IF(F374=0,"NO QUOTA FOUND",IF(C374&gt;=F374*0.25,"On Track","Behind"))</f>
        <v/>
      </c>
      <c r="H374">
        <f>C374*IF(B374="West",0.95,1)</f>
        <v/>
      </c>
    </row>
    <row r="375">
      <c r="A375">
        <f>Raw_Bookings!A376</f>
        <v/>
      </c>
      <c r="B375">
        <f>IF(TRIM(LOWER(Raw_Bookings!D376))="east","East",IF(TRIM(LOWER(Raw_Bookings!D376))="west","West",IF(TRIM(LOWER(Raw_Bookings!D376))="central","Central",IF(TRIM(LOWER(Raw_Bookings!D376))="south","South","UNKNOWN"))))</f>
        <v/>
      </c>
      <c r="C375">
        <f>IFERROR(Raw_Bookings!H376*VLOOKUP(Raw_Bookings!I376,Rates!$A$2:$B$6,2,FALSE),Raw_Bookings!H376)</f>
        <v/>
      </c>
      <c r="D375">
        <f>IF(Raw_Bookings!F376="New License","NEW",IF(OR(Raw_Bookings!F376="Renewal",Raw_Bookings!F376="Support"),"RECURRING","OTHER"))</f>
        <v/>
      </c>
      <c r="E375">
        <f>IFERROR(VLOOKUP(Raw_Bookings!G376,Rep_Master!$A$2:$D$18,3,FALSE),"")</f>
        <v/>
      </c>
      <c r="F375">
        <f>IFERROR(VLOOKUP(E375,Rep_Targets!$A$2:$D$9,4,FALSE),0)</f>
        <v/>
      </c>
      <c r="G375">
        <f>IF(F375=0,"NO QUOTA FOUND",IF(C375&gt;=F375*0.25,"On Track","Behind"))</f>
        <v/>
      </c>
      <c r="H375">
        <f>C375*IF(B375="West",0.95,1)</f>
        <v/>
      </c>
    </row>
    <row r="376">
      <c r="A376">
        <f>Raw_Bookings!A377</f>
        <v/>
      </c>
      <c r="B376">
        <f>IF(TRIM(LOWER(Raw_Bookings!D377))="east","East",IF(TRIM(LOWER(Raw_Bookings!D377))="west","West",IF(TRIM(LOWER(Raw_Bookings!D377))="central","Central",IF(TRIM(LOWER(Raw_Bookings!D377))="south","South","UNKNOWN"))))</f>
        <v/>
      </c>
      <c r="C376">
        <f>IFERROR(Raw_Bookings!H377*VLOOKUP(Raw_Bookings!I377,Rates!$A$2:$B$6,2,FALSE),Raw_Bookings!H377)</f>
        <v/>
      </c>
      <c r="D376">
        <f>IF(Raw_Bookings!F377="New License","NEW",IF(OR(Raw_Bookings!F377="Renewal",Raw_Bookings!F377="Support"),"RECURRING","OTHER"))</f>
        <v/>
      </c>
      <c r="E376">
        <f>IFERROR(VLOOKUP(Raw_Bookings!G377,Rep_Master!$A$2:$D$18,3,FALSE),"")</f>
        <v/>
      </c>
      <c r="F376">
        <f>IFERROR(VLOOKUP(E376,Rep_Targets!$A$2:$D$9,4,FALSE),0)</f>
        <v/>
      </c>
      <c r="G376">
        <f>IF(F376=0,"NO QUOTA FOUND",IF(C376&gt;=F376*0.25,"On Track","Behind"))</f>
        <v/>
      </c>
      <c r="H376">
        <f>C376*IF(B376="West",0.95,1)</f>
        <v/>
      </c>
    </row>
    <row r="377">
      <c r="A377">
        <f>Raw_Bookings!A378</f>
        <v/>
      </c>
      <c r="B377">
        <f>IF(TRIM(LOWER(Raw_Bookings!D378))="east","East",IF(TRIM(LOWER(Raw_Bookings!D378))="west","West",IF(TRIM(LOWER(Raw_Bookings!D378))="central","Central",IF(TRIM(LOWER(Raw_Bookings!D378))="south","South","UNKNOWN"))))</f>
        <v/>
      </c>
      <c r="C377">
        <f>IFERROR(Raw_Bookings!H378*VLOOKUP(Raw_Bookings!I378,Rates!$A$2:$B$6,2,FALSE),Raw_Bookings!H378)</f>
        <v/>
      </c>
      <c r="D377">
        <f>IF(Raw_Bookings!F378="New License","NEW",IF(OR(Raw_Bookings!F378="Renewal",Raw_Bookings!F378="Support"),"RECURRING","OTHER"))</f>
        <v/>
      </c>
      <c r="E377">
        <f>IFERROR(VLOOKUP(Raw_Bookings!G378,Rep_Master!$A$2:$D$18,3,FALSE),"")</f>
        <v/>
      </c>
      <c r="F377">
        <f>IFERROR(VLOOKUP(E377,Rep_Targets!$A$2:$D$9,4,FALSE),0)</f>
        <v/>
      </c>
      <c r="G377">
        <f>IF(F377=0,"NO QUOTA FOUND",IF(C377&gt;=F377*0.25,"On Track","Behind"))</f>
        <v/>
      </c>
      <c r="H377">
        <f>C377*IF(B377="West",0.95,1)</f>
        <v/>
      </c>
    </row>
    <row r="378">
      <c r="A378">
        <f>Raw_Bookings!A379</f>
        <v/>
      </c>
      <c r="B378">
        <f>IF(TRIM(LOWER(Raw_Bookings!D379))="east","East",IF(TRIM(LOWER(Raw_Bookings!D379))="west","West",IF(TRIM(LOWER(Raw_Bookings!D379))="central","Central",IF(TRIM(LOWER(Raw_Bookings!D379))="south","South","UNKNOWN"))))</f>
        <v/>
      </c>
      <c r="C378">
        <f>IFERROR(Raw_Bookings!H379*VLOOKUP(Raw_Bookings!I379,Rates!$A$2:$B$6,2,FALSE),Raw_Bookings!H379)</f>
        <v/>
      </c>
      <c r="D378">
        <f>IF(Raw_Bookings!F379="New License","NEW",IF(OR(Raw_Bookings!F379="Renewal",Raw_Bookings!F379="Support"),"RECURRING","OTHER"))</f>
        <v/>
      </c>
      <c r="E378">
        <f>IFERROR(VLOOKUP(Raw_Bookings!G379,Rep_Master!$A$2:$D$18,3,FALSE),"")</f>
        <v/>
      </c>
      <c r="F378">
        <f>IFERROR(VLOOKUP(E378,Rep_Targets!$A$2:$D$9,4,FALSE),0)</f>
        <v/>
      </c>
      <c r="G378">
        <f>IF(F378=0,"NO QUOTA FOUND",IF(C378&gt;=F378*0.25,"On Track","Behind"))</f>
        <v/>
      </c>
      <c r="H378">
        <f>C378*IF(B378="West",0.95,1)</f>
        <v/>
      </c>
    </row>
    <row r="379">
      <c r="A379">
        <f>Raw_Bookings!A380</f>
        <v/>
      </c>
      <c r="B379">
        <f>IF(TRIM(LOWER(Raw_Bookings!D380))="east","East",IF(TRIM(LOWER(Raw_Bookings!D380))="west","West",IF(TRIM(LOWER(Raw_Bookings!D380))="central","Central",IF(TRIM(LOWER(Raw_Bookings!D380))="south","South","UNKNOWN"))))</f>
        <v/>
      </c>
      <c r="C379">
        <f>IFERROR(Raw_Bookings!H380*VLOOKUP(Raw_Bookings!I380,Rates!$A$2:$B$6,2,FALSE),Raw_Bookings!H380)</f>
        <v/>
      </c>
      <c r="D379">
        <f>IF(Raw_Bookings!F380="New License","NEW",IF(OR(Raw_Bookings!F380="Renewal",Raw_Bookings!F380="Support"),"RECURRING","OTHER"))</f>
        <v/>
      </c>
      <c r="E379">
        <f>IFERROR(VLOOKUP(Raw_Bookings!G380,Rep_Master!$A$2:$D$18,3,FALSE),"")</f>
        <v/>
      </c>
      <c r="F379">
        <f>IFERROR(VLOOKUP(E379,Rep_Targets!$A$2:$D$9,4,FALSE),0)</f>
        <v/>
      </c>
      <c r="G379">
        <f>IF(F379=0,"NO QUOTA FOUND",IF(C379&gt;=F379*0.25,"On Track","Behind"))</f>
        <v/>
      </c>
      <c r="H379">
        <f>C379*IF(B379="West",0.95,1)</f>
        <v/>
      </c>
    </row>
    <row r="380">
      <c r="A380">
        <f>Raw_Bookings!A381</f>
        <v/>
      </c>
      <c r="B380">
        <f>IF(TRIM(LOWER(Raw_Bookings!D381))="east","East",IF(TRIM(LOWER(Raw_Bookings!D381))="west","West",IF(TRIM(LOWER(Raw_Bookings!D381))="central","Central",IF(TRIM(LOWER(Raw_Bookings!D381))="south","South","UNKNOWN"))))</f>
        <v/>
      </c>
      <c r="C380">
        <f>IFERROR(Raw_Bookings!H381*VLOOKUP(Raw_Bookings!I381,Rates!$A$2:$B$6,2,FALSE),Raw_Bookings!H381)</f>
        <v/>
      </c>
      <c r="D380">
        <f>IF(Raw_Bookings!F381="New License","NEW",IF(OR(Raw_Bookings!F381="Renewal",Raw_Bookings!F381="Support"),"RECURRING","OTHER"))</f>
        <v/>
      </c>
      <c r="E380">
        <f>IFERROR(VLOOKUP(Raw_Bookings!G381,Rep_Master!$A$2:$D$18,3,FALSE),"")</f>
        <v/>
      </c>
      <c r="F380">
        <f>IFERROR(VLOOKUP(E380,Rep_Targets!$A$2:$D$9,4,FALSE),0)</f>
        <v/>
      </c>
      <c r="G380">
        <f>IF(F380=0,"NO QUOTA FOUND",IF(C380&gt;=F380*0.25,"On Track","Behind"))</f>
        <v/>
      </c>
      <c r="H380">
        <f>C380*IF(B380="West",0.95,1)</f>
        <v/>
      </c>
    </row>
    <row r="381">
      <c r="A381">
        <f>Raw_Bookings!A382</f>
        <v/>
      </c>
      <c r="B381">
        <f>IF(TRIM(LOWER(Raw_Bookings!D382))="east","East",IF(TRIM(LOWER(Raw_Bookings!D382))="west","West",IF(TRIM(LOWER(Raw_Bookings!D382))="central","Central",IF(TRIM(LOWER(Raw_Bookings!D382))="south","South","UNKNOWN"))))</f>
        <v/>
      </c>
      <c r="C381">
        <f>IFERROR(Raw_Bookings!H382*VLOOKUP(Raw_Bookings!I382,Rates!$A$2:$B$6,2,FALSE),Raw_Bookings!H382)</f>
        <v/>
      </c>
      <c r="D381">
        <f>IF(Raw_Bookings!F382="New License","NEW",IF(OR(Raw_Bookings!F382="Renewal",Raw_Bookings!F382="Support"),"RECURRING","OTHER"))</f>
        <v/>
      </c>
      <c r="E381">
        <f>IFERROR(VLOOKUP(Raw_Bookings!G382,Rep_Master!$A$2:$D$18,3,FALSE),"")</f>
        <v/>
      </c>
      <c r="F381">
        <f>IFERROR(VLOOKUP(E381,Rep_Targets!$A$2:$D$9,4,FALSE),0)</f>
        <v/>
      </c>
      <c r="G381">
        <f>IF(F381=0,"NO QUOTA FOUND",IF(C381&gt;=F381*0.25,"On Track","Behind"))</f>
        <v/>
      </c>
      <c r="H381">
        <f>C381*IF(B381="West",0.95,1)</f>
        <v/>
      </c>
    </row>
    <row r="382">
      <c r="A382">
        <f>Raw_Bookings!A383</f>
        <v/>
      </c>
      <c r="B382">
        <f>IF(TRIM(LOWER(Raw_Bookings!D383))="east","East",IF(TRIM(LOWER(Raw_Bookings!D383))="west","West",IF(TRIM(LOWER(Raw_Bookings!D383))="central","Central",IF(TRIM(LOWER(Raw_Bookings!D383))="south","South","UNKNOWN"))))</f>
        <v/>
      </c>
      <c r="C382">
        <f>IFERROR(Raw_Bookings!H383*VLOOKUP(Raw_Bookings!I383,Rates!$A$2:$B$6,2,FALSE),Raw_Bookings!H383)</f>
        <v/>
      </c>
      <c r="D382">
        <f>IF(Raw_Bookings!F383="New License","NEW",IF(OR(Raw_Bookings!F383="Renewal",Raw_Bookings!F383="Support"),"RECURRING","OTHER"))</f>
        <v/>
      </c>
      <c r="E382">
        <f>IFERROR(VLOOKUP(Raw_Bookings!G383,Rep_Master!$A$2:$D$18,3,FALSE),"")</f>
        <v/>
      </c>
      <c r="F382">
        <f>IFERROR(VLOOKUP(E382,Rep_Targets!$A$2:$D$9,4,FALSE),0)</f>
        <v/>
      </c>
      <c r="G382">
        <f>IF(F382=0,"NO QUOTA FOUND",IF(C382&gt;=F382*0.25,"On Track","Behind"))</f>
        <v/>
      </c>
      <c r="H382">
        <f>C382*IF(B382="West",0.95,1)</f>
        <v/>
      </c>
    </row>
    <row r="383">
      <c r="A383">
        <f>Raw_Bookings!A384</f>
        <v/>
      </c>
      <c r="B383">
        <f>IF(TRIM(LOWER(Raw_Bookings!D384))="east","East",IF(TRIM(LOWER(Raw_Bookings!D384))="west","West",IF(TRIM(LOWER(Raw_Bookings!D384))="central","Central",IF(TRIM(LOWER(Raw_Bookings!D384))="south","South","UNKNOWN"))))</f>
        <v/>
      </c>
      <c r="C383">
        <f>IFERROR(Raw_Bookings!H384*VLOOKUP(Raw_Bookings!I384,Rates!$A$2:$B$6,2,FALSE),Raw_Bookings!H384)</f>
        <v/>
      </c>
      <c r="D383">
        <f>IF(Raw_Bookings!F384="New License","NEW",IF(OR(Raw_Bookings!F384="Renewal",Raw_Bookings!F384="Support"),"RECURRING","OTHER"))</f>
        <v/>
      </c>
      <c r="E383">
        <f>IFERROR(VLOOKUP(Raw_Bookings!G384,Rep_Master!$A$2:$D$18,3,FALSE),"")</f>
        <v/>
      </c>
      <c r="F383">
        <f>IFERROR(VLOOKUP(E383,Rep_Targets!$A$2:$D$9,4,FALSE),0)</f>
        <v/>
      </c>
      <c r="G383">
        <f>IF(F383=0,"NO QUOTA FOUND",IF(C383&gt;=F383*0.25,"On Track","Behind"))</f>
        <v/>
      </c>
      <c r="H383">
        <f>C383*IF(B383="West",0.95,1)</f>
        <v/>
      </c>
    </row>
    <row r="384">
      <c r="A384">
        <f>Raw_Bookings!A385</f>
        <v/>
      </c>
      <c r="B384">
        <f>IF(TRIM(LOWER(Raw_Bookings!D385))="east","East",IF(TRIM(LOWER(Raw_Bookings!D385))="west","West",IF(TRIM(LOWER(Raw_Bookings!D385))="central","Central",IF(TRIM(LOWER(Raw_Bookings!D385))="south","South","UNKNOWN"))))</f>
        <v/>
      </c>
      <c r="C384">
        <f>IFERROR(Raw_Bookings!H385*VLOOKUP(Raw_Bookings!I385,Rates!$A$2:$B$6,2,FALSE),Raw_Bookings!H385)</f>
        <v/>
      </c>
      <c r="D384">
        <f>IF(Raw_Bookings!F385="New License","NEW",IF(OR(Raw_Bookings!F385="Renewal",Raw_Bookings!F385="Support"),"RECURRING","OTHER"))</f>
        <v/>
      </c>
      <c r="E384">
        <f>IFERROR(VLOOKUP(Raw_Bookings!G385,Rep_Master!$A$2:$D$18,3,FALSE),"")</f>
        <v/>
      </c>
      <c r="F384">
        <f>IFERROR(VLOOKUP(E384,Rep_Targets!$A$2:$D$9,4,FALSE),0)</f>
        <v/>
      </c>
      <c r="G384">
        <f>IF(F384=0,"NO QUOTA FOUND",IF(C384&gt;=F384*0.25,"On Track","Behind"))</f>
        <v/>
      </c>
      <c r="H384">
        <f>C384*IF(B384="West",0.95,1)</f>
        <v/>
      </c>
    </row>
    <row r="385">
      <c r="A385">
        <f>Raw_Bookings!A386</f>
        <v/>
      </c>
      <c r="B385">
        <f>IF(TRIM(LOWER(Raw_Bookings!D386))="east","East",IF(TRIM(LOWER(Raw_Bookings!D386))="west","West",IF(TRIM(LOWER(Raw_Bookings!D386))="central","Central",IF(TRIM(LOWER(Raw_Bookings!D386))="south","South","UNKNOWN"))))</f>
        <v/>
      </c>
      <c r="C385">
        <f>IFERROR(Raw_Bookings!H386*VLOOKUP(Raw_Bookings!I386,Rates!$A$2:$B$6,2,FALSE),Raw_Bookings!H386)</f>
        <v/>
      </c>
      <c r="D385">
        <f>IF(Raw_Bookings!F386="New License","NEW",IF(OR(Raw_Bookings!F386="Renewal",Raw_Bookings!F386="Support"),"RECURRING","OTHER"))</f>
        <v/>
      </c>
      <c r="E385">
        <f>IFERROR(VLOOKUP(Raw_Bookings!G386,Rep_Master!$A$2:$D$18,3,FALSE),"")</f>
        <v/>
      </c>
      <c r="F385">
        <f>IFERROR(VLOOKUP(E385,Rep_Targets!$A$2:$D$9,4,FALSE),0)</f>
        <v/>
      </c>
      <c r="G385">
        <f>IF(F385=0,"NO QUOTA FOUND",IF(C385&gt;=F385*0.25,"On Track","Behind"))</f>
        <v/>
      </c>
      <c r="H385">
        <f>C385*IF(B385="West",0.95,1)</f>
        <v/>
      </c>
    </row>
    <row r="386">
      <c r="A386">
        <f>Raw_Bookings!A387</f>
        <v/>
      </c>
      <c r="B386">
        <f>IF(TRIM(LOWER(Raw_Bookings!D387))="east","East",IF(TRIM(LOWER(Raw_Bookings!D387))="west","West",IF(TRIM(LOWER(Raw_Bookings!D387))="central","Central",IF(TRIM(LOWER(Raw_Bookings!D387))="south","South","UNKNOWN"))))</f>
        <v/>
      </c>
      <c r="C386">
        <f>IFERROR(Raw_Bookings!H387*VLOOKUP(Raw_Bookings!I387,Rates!$A$2:$B$6,2,FALSE),Raw_Bookings!H387)</f>
        <v/>
      </c>
      <c r="D386">
        <f>IF(Raw_Bookings!F387="New License","NEW",IF(OR(Raw_Bookings!F387="Renewal",Raw_Bookings!F387="Support"),"RECURRING","OTHER"))</f>
        <v/>
      </c>
      <c r="E386">
        <f>IFERROR(VLOOKUP(Raw_Bookings!G387,Rep_Master!$A$2:$D$18,3,FALSE),"")</f>
        <v/>
      </c>
      <c r="F386">
        <f>IFERROR(VLOOKUP(E386,Rep_Targets!$A$2:$D$9,4,FALSE),0)</f>
        <v/>
      </c>
      <c r="G386">
        <f>IF(F386=0,"NO QUOTA FOUND",IF(C386&gt;=F386*0.25,"On Track","Behind"))</f>
        <v/>
      </c>
      <c r="H386">
        <f>C386*IF(B386="West",0.95,1)</f>
        <v/>
      </c>
    </row>
    <row r="387">
      <c r="A387">
        <f>Raw_Bookings!A388</f>
        <v/>
      </c>
      <c r="B387">
        <f>IF(TRIM(LOWER(Raw_Bookings!D388))="east","East",IF(TRIM(LOWER(Raw_Bookings!D388))="west","West",IF(TRIM(LOWER(Raw_Bookings!D388))="central","Central",IF(TRIM(LOWER(Raw_Bookings!D388))="south","South","UNKNOWN"))))</f>
        <v/>
      </c>
      <c r="C387">
        <f>IFERROR(Raw_Bookings!H388*VLOOKUP(Raw_Bookings!I388,Rates!$A$2:$B$6,2,FALSE),Raw_Bookings!H388)</f>
        <v/>
      </c>
      <c r="D387">
        <f>IF(Raw_Bookings!F388="New License","NEW",IF(OR(Raw_Bookings!F388="Renewal",Raw_Bookings!F388="Support"),"RECURRING","OTHER"))</f>
        <v/>
      </c>
      <c r="E387">
        <f>IFERROR(VLOOKUP(Raw_Bookings!G388,Rep_Master!$A$2:$D$18,3,FALSE),"")</f>
        <v/>
      </c>
      <c r="F387">
        <f>IFERROR(VLOOKUP(E387,Rep_Targets!$A$2:$D$9,4,FALSE),0)</f>
        <v/>
      </c>
      <c r="G387">
        <f>IF(F387=0,"NO QUOTA FOUND",IF(C387&gt;=F387*0.25,"On Track","Behind"))</f>
        <v/>
      </c>
      <c r="H387">
        <f>C387*IF(B387="West",0.95,1)</f>
        <v/>
      </c>
    </row>
    <row r="388">
      <c r="A388">
        <f>Raw_Bookings!A389</f>
        <v/>
      </c>
      <c r="B388">
        <f>IF(TRIM(LOWER(Raw_Bookings!D389))="east","East",IF(TRIM(LOWER(Raw_Bookings!D389))="west","West",IF(TRIM(LOWER(Raw_Bookings!D389))="central","Central",IF(TRIM(LOWER(Raw_Bookings!D389))="south","South","UNKNOWN"))))</f>
        <v/>
      </c>
      <c r="C388">
        <f>IFERROR(Raw_Bookings!H389*VLOOKUP(Raw_Bookings!I389,Rates!$A$2:$B$6,2,FALSE),Raw_Bookings!H389)</f>
        <v/>
      </c>
      <c r="D388">
        <f>IF(Raw_Bookings!F389="New License","NEW",IF(OR(Raw_Bookings!F389="Renewal",Raw_Bookings!F389="Support"),"RECURRING","OTHER"))</f>
        <v/>
      </c>
      <c r="E388">
        <f>IFERROR(VLOOKUP(Raw_Bookings!G389,Rep_Master!$A$2:$D$18,3,FALSE),"")</f>
        <v/>
      </c>
      <c r="F388">
        <f>IFERROR(VLOOKUP(E388,Rep_Targets!$A$2:$D$9,4,FALSE),0)</f>
        <v/>
      </c>
      <c r="G388">
        <f>IF(F388=0,"NO QUOTA FOUND",IF(C388&gt;=F388*0.25,"On Track","Behind"))</f>
        <v/>
      </c>
      <c r="H388">
        <f>C388*IF(B388="West",0.95,1)</f>
        <v/>
      </c>
    </row>
    <row r="389">
      <c r="A389">
        <f>Raw_Bookings!A390</f>
        <v/>
      </c>
      <c r="B389">
        <f>IF(TRIM(LOWER(Raw_Bookings!D390))="east","East",IF(TRIM(LOWER(Raw_Bookings!D390))="west","West",IF(TRIM(LOWER(Raw_Bookings!D390))="central","Central",IF(TRIM(LOWER(Raw_Bookings!D390))="south","South","UNKNOWN"))))</f>
        <v/>
      </c>
      <c r="C389">
        <f>IFERROR(Raw_Bookings!H390*VLOOKUP(Raw_Bookings!I390,Rates!$A$2:$B$6,2,FALSE),Raw_Bookings!H390)</f>
        <v/>
      </c>
      <c r="D389">
        <f>IF(Raw_Bookings!F390="New License","NEW",IF(OR(Raw_Bookings!F390="Renewal",Raw_Bookings!F390="Support"),"RECURRING","OTHER"))</f>
        <v/>
      </c>
      <c r="E389">
        <f>IFERROR(VLOOKUP(Raw_Bookings!G390,Rep_Master!$A$2:$D$18,3,FALSE),"")</f>
        <v/>
      </c>
      <c r="F389">
        <f>IFERROR(VLOOKUP(E389,Rep_Targets!$A$2:$D$9,4,FALSE),0)</f>
        <v/>
      </c>
      <c r="G389">
        <f>IF(F389=0,"NO QUOTA FOUND",IF(C389&gt;=F389*0.25,"On Track","Behind"))</f>
        <v/>
      </c>
      <c r="H389">
        <f>C389*IF(B389="West",0.95,1)</f>
        <v/>
      </c>
    </row>
    <row r="390">
      <c r="A390">
        <f>Raw_Bookings!A391</f>
        <v/>
      </c>
      <c r="B390">
        <f>IF(TRIM(LOWER(Raw_Bookings!D391))="east","East",IF(TRIM(LOWER(Raw_Bookings!D391))="west","West",IF(TRIM(LOWER(Raw_Bookings!D391))="central","Central",IF(TRIM(LOWER(Raw_Bookings!D391))="south","South","UNKNOWN"))))</f>
        <v/>
      </c>
      <c r="C390">
        <f>IFERROR(Raw_Bookings!H391*VLOOKUP(Raw_Bookings!I391,Rates!$A$2:$B$6,2,FALSE),Raw_Bookings!H391)</f>
        <v/>
      </c>
      <c r="D390">
        <f>IF(Raw_Bookings!F391="New License","NEW",IF(OR(Raw_Bookings!F391="Renewal",Raw_Bookings!F391="Support"),"RECURRING","OTHER"))</f>
        <v/>
      </c>
      <c r="E390">
        <f>IFERROR(VLOOKUP(Raw_Bookings!G391,Rep_Master!$A$2:$D$18,3,FALSE),"")</f>
        <v/>
      </c>
      <c r="F390">
        <f>IFERROR(VLOOKUP(E390,Rep_Targets!$A$2:$D$9,4,FALSE),0)</f>
        <v/>
      </c>
      <c r="G390">
        <f>IF(F390=0,"NO QUOTA FOUND",IF(C390&gt;=F390*0.25,"On Track","Behind"))</f>
        <v/>
      </c>
      <c r="H390">
        <f>C390*IF(B390="West",0.95,1)</f>
        <v/>
      </c>
    </row>
    <row r="391">
      <c r="A391">
        <f>Raw_Bookings!A392</f>
        <v/>
      </c>
      <c r="B391">
        <f>IF(TRIM(LOWER(Raw_Bookings!D392))="east","East",IF(TRIM(LOWER(Raw_Bookings!D392))="west","West",IF(TRIM(LOWER(Raw_Bookings!D392))="central","Central",IF(TRIM(LOWER(Raw_Bookings!D392))="south","South","UNKNOWN"))))</f>
        <v/>
      </c>
      <c r="C391">
        <f>IFERROR(Raw_Bookings!H392*VLOOKUP(Raw_Bookings!I392,Rates!$A$2:$B$6,2,FALSE),Raw_Bookings!H392)</f>
        <v/>
      </c>
      <c r="D391">
        <f>IF(Raw_Bookings!F392="New License","NEW",IF(OR(Raw_Bookings!F392="Renewal",Raw_Bookings!F392="Support"),"RECURRING","OTHER"))</f>
        <v/>
      </c>
      <c r="E391">
        <f>IFERROR(VLOOKUP(Raw_Bookings!G392,Rep_Master!$A$2:$D$18,3,FALSE),"")</f>
        <v/>
      </c>
      <c r="F391">
        <f>IFERROR(VLOOKUP(E391,Rep_Targets!$A$2:$D$9,4,FALSE),0)</f>
        <v/>
      </c>
      <c r="G391">
        <f>IF(F391=0,"NO QUOTA FOUND",IF(C391&gt;=F391*0.25,"On Track","Behind"))</f>
        <v/>
      </c>
      <c r="H391">
        <f>C391*IF(B391="West",0.95,1)</f>
        <v/>
      </c>
    </row>
    <row r="392">
      <c r="A392">
        <f>Raw_Bookings!A393</f>
        <v/>
      </c>
      <c r="B392">
        <f>IF(TRIM(LOWER(Raw_Bookings!D393))="east","East",IF(TRIM(LOWER(Raw_Bookings!D393))="west","West",IF(TRIM(LOWER(Raw_Bookings!D393))="central","Central",IF(TRIM(LOWER(Raw_Bookings!D393))="south","South","UNKNOWN"))))</f>
        <v/>
      </c>
      <c r="C392">
        <f>IFERROR(Raw_Bookings!H393*VLOOKUP(Raw_Bookings!I393,Rates!$A$2:$B$6,2,FALSE),Raw_Bookings!H393)</f>
        <v/>
      </c>
      <c r="D392">
        <f>IF(Raw_Bookings!F393="New License","NEW",IF(OR(Raw_Bookings!F393="Renewal",Raw_Bookings!F393="Support"),"RECURRING","OTHER"))</f>
        <v/>
      </c>
      <c r="E392">
        <f>IFERROR(VLOOKUP(Raw_Bookings!G393,Rep_Master!$A$2:$D$18,3,FALSE),"")</f>
        <v/>
      </c>
      <c r="F392">
        <f>IFERROR(VLOOKUP(E392,Rep_Targets!$A$2:$D$9,4,FALSE),0)</f>
        <v/>
      </c>
      <c r="G392">
        <f>IF(F392=0,"NO QUOTA FOUND",IF(C392&gt;=F392*0.25,"On Track","Behind"))</f>
        <v/>
      </c>
      <c r="H392">
        <f>C392*IF(B392="West",0.95,1)</f>
        <v/>
      </c>
    </row>
    <row r="393">
      <c r="A393">
        <f>Raw_Bookings!A394</f>
        <v/>
      </c>
      <c r="B393">
        <f>IF(TRIM(LOWER(Raw_Bookings!D394))="east","East",IF(TRIM(LOWER(Raw_Bookings!D394))="west","West",IF(TRIM(LOWER(Raw_Bookings!D394))="central","Central",IF(TRIM(LOWER(Raw_Bookings!D394))="south","South","UNKNOWN"))))</f>
        <v/>
      </c>
      <c r="C393">
        <f>IFERROR(Raw_Bookings!H394*VLOOKUP(Raw_Bookings!I394,Rates!$A$2:$B$6,2,FALSE),Raw_Bookings!H394)</f>
        <v/>
      </c>
      <c r="D393">
        <f>IF(Raw_Bookings!F394="New License","NEW",IF(OR(Raw_Bookings!F394="Renewal",Raw_Bookings!F394="Support"),"RECURRING","OTHER"))</f>
        <v/>
      </c>
      <c r="E393">
        <f>IFERROR(VLOOKUP(Raw_Bookings!G394,Rep_Master!$A$2:$D$18,3,FALSE),"")</f>
        <v/>
      </c>
      <c r="F393">
        <f>IFERROR(VLOOKUP(E393,Rep_Targets!$A$2:$D$9,4,FALSE),0)</f>
        <v/>
      </c>
      <c r="G393">
        <f>IF(F393=0,"NO QUOTA FOUND",IF(C393&gt;=F393*0.25,"On Track","Behind"))</f>
        <v/>
      </c>
      <c r="H393">
        <f>C393*IF(B393="West",0.95,1)</f>
        <v/>
      </c>
    </row>
    <row r="394">
      <c r="A394">
        <f>Raw_Bookings!A395</f>
        <v/>
      </c>
      <c r="B394">
        <f>IF(TRIM(LOWER(Raw_Bookings!D395))="east","East",IF(TRIM(LOWER(Raw_Bookings!D395))="west","West",IF(TRIM(LOWER(Raw_Bookings!D395))="central","Central",IF(TRIM(LOWER(Raw_Bookings!D395))="south","South","UNKNOWN"))))</f>
        <v/>
      </c>
      <c r="C394">
        <f>IFERROR(Raw_Bookings!H395*VLOOKUP(Raw_Bookings!I395,Rates!$A$2:$B$6,2,FALSE),Raw_Bookings!H395)</f>
        <v/>
      </c>
      <c r="D394">
        <f>IF(Raw_Bookings!F395="New License","NEW",IF(OR(Raw_Bookings!F395="Renewal",Raw_Bookings!F395="Support"),"RECURRING","OTHER"))</f>
        <v/>
      </c>
      <c r="E394">
        <f>IFERROR(VLOOKUP(Raw_Bookings!G395,Rep_Master!$A$2:$D$18,3,FALSE),"")</f>
        <v/>
      </c>
      <c r="F394">
        <f>IFERROR(VLOOKUP(E394,Rep_Targets!$A$2:$D$9,4,FALSE),0)</f>
        <v/>
      </c>
      <c r="G394">
        <f>IF(F394=0,"NO QUOTA FOUND",IF(C394&gt;=F394*0.25,"On Track","Behind"))</f>
        <v/>
      </c>
      <c r="H394">
        <f>C394*IF(B394="West",0.95,1)</f>
        <v/>
      </c>
    </row>
    <row r="395">
      <c r="A395">
        <f>Raw_Bookings!A396</f>
        <v/>
      </c>
      <c r="B395">
        <f>IF(TRIM(LOWER(Raw_Bookings!D396))="east","East",IF(TRIM(LOWER(Raw_Bookings!D396))="west","West",IF(TRIM(LOWER(Raw_Bookings!D396))="central","Central",IF(TRIM(LOWER(Raw_Bookings!D396))="south","South","UNKNOWN"))))</f>
        <v/>
      </c>
      <c r="C395">
        <f>IFERROR(Raw_Bookings!H396*VLOOKUP(Raw_Bookings!I396,Rates!$A$2:$B$6,2,FALSE),Raw_Bookings!H396)</f>
        <v/>
      </c>
      <c r="D395">
        <f>IF(Raw_Bookings!F396="New License","NEW",IF(OR(Raw_Bookings!F396="Renewal",Raw_Bookings!F396="Support"),"RECURRING","OTHER"))</f>
        <v/>
      </c>
      <c r="E395">
        <f>IFERROR(VLOOKUP(Raw_Bookings!G396,Rep_Master!$A$2:$D$18,3,FALSE),"")</f>
        <v/>
      </c>
      <c r="F395">
        <f>IFERROR(VLOOKUP(E395,Rep_Targets!$A$2:$D$9,4,FALSE),0)</f>
        <v/>
      </c>
      <c r="G395">
        <f>IF(F395=0,"NO QUOTA FOUND",IF(C395&gt;=F395*0.25,"On Track","Behind"))</f>
        <v/>
      </c>
      <c r="H395">
        <f>C395*IF(B395="West",0.95,1)</f>
        <v/>
      </c>
    </row>
    <row r="396">
      <c r="A396">
        <f>Raw_Bookings!A397</f>
        <v/>
      </c>
      <c r="B396">
        <f>IF(TRIM(LOWER(Raw_Bookings!D397))="east","East",IF(TRIM(LOWER(Raw_Bookings!D397))="west","West",IF(TRIM(LOWER(Raw_Bookings!D397))="central","Central",IF(TRIM(LOWER(Raw_Bookings!D397))="south","South","UNKNOWN"))))</f>
        <v/>
      </c>
      <c r="C396">
        <f>IFERROR(Raw_Bookings!H397*VLOOKUP(Raw_Bookings!I397,Rates!$A$2:$B$6,2,FALSE),Raw_Bookings!H397)</f>
        <v/>
      </c>
      <c r="D396">
        <f>IF(Raw_Bookings!F397="New License","NEW",IF(OR(Raw_Bookings!F397="Renewal",Raw_Bookings!F397="Support"),"RECURRING","OTHER"))</f>
        <v/>
      </c>
      <c r="E396">
        <f>IFERROR(VLOOKUP(Raw_Bookings!G397,Rep_Master!$A$2:$D$18,3,FALSE),"")</f>
        <v/>
      </c>
      <c r="F396">
        <f>IFERROR(VLOOKUP(E396,Rep_Targets!$A$2:$D$9,4,FALSE),0)</f>
        <v/>
      </c>
      <c r="G396">
        <f>IF(F396=0,"NO QUOTA FOUND",IF(C396&gt;=F396*0.25,"On Track","Behind"))</f>
        <v/>
      </c>
      <c r="H396">
        <f>C396*IF(B396="West",0.95,1)</f>
        <v/>
      </c>
    </row>
    <row r="397">
      <c r="A397">
        <f>Raw_Bookings!A398</f>
        <v/>
      </c>
      <c r="B397">
        <f>IF(TRIM(LOWER(Raw_Bookings!D398))="east","East",IF(TRIM(LOWER(Raw_Bookings!D398))="west","West",IF(TRIM(LOWER(Raw_Bookings!D398))="central","Central",IF(TRIM(LOWER(Raw_Bookings!D398))="south","South","UNKNOWN"))))</f>
        <v/>
      </c>
      <c r="C397">
        <f>IFERROR(Raw_Bookings!H398*VLOOKUP(Raw_Bookings!I398,Rates!$A$2:$B$6,2,FALSE),Raw_Bookings!H398)</f>
        <v/>
      </c>
      <c r="D397">
        <f>IF(Raw_Bookings!F398="New License","NEW",IF(OR(Raw_Bookings!F398="Renewal",Raw_Bookings!F398="Support"),"RECURRING","OTHER"))</f>
        <v/>
      </c>
      <c r="E397">
        <f>IFERROR(VLOOKUP(Raw_Bookings!G398,Rep_Master!$A$2:$D$18,3,FALSE),"")</f>
        <v/>
      </c>
      <c r="F397">
        <f>IFERROR(VLOOKUP(E397,Rep_Targets!$A$2:$D$9,4,FALSE),0)</f>
        <v/>
      </c>
      <c r="G397">
        <f>IF(F397=0,"NO QUOTA FOUND",IF(C397&gt;=F397*0.25,"On Track","Behind"))</f>
        <v/>
      </c>
      <c r="H397">
        <f>C397*IF(B397="West",0.95,1)</f>
        <v/>
      </c>
    </row>
    <row r="398">
      <c r="A398">
        <f>Raw_Bookings!A399</f>
        <v/>
      </c>
      <c r="B398">
        <f>IF(TRIM(LOWER(Raw_Bookings!D399))="east","East",IF(TRIM(LOWER(Raw_Bookings!D399))="west","West",IF(TRIM(LOWER(Raw_Bookings!D399))="central","Central",IF(TRIM(LOWER(Raw_Bookings!D399))="south","South","UNKNOWN"))))</f>
        <v/>
      </c>
      <c r="C398">
        <f>IFERROR(Raw_Bookings!H399*VLOOKUP(Raw_Bookings!I399,Rates!$A$2:$B$6,2,FALSE),Raw_Bookings!H399)</f>
        <v/>
      </c>
      <c r="D398">
        <f>IF(Raw_Bookings!F399="New License","NEW",IF(OR(Raw_Bookings!F399="Renewal",Raw_Bookings!F399="Support"),"RECURRING","OTHER"))</f>
        <v/>
      </c>
      <c r="E398">
        <f>IFERROR(VLOOKUP(Raw_Bookings!G399,Rep_Master!$A$2:$D$18,3,FALSE),"")</f>
        <v/>
      </c>
      <c r="F398">
        <f>IFERROR(VLOOKUP(E398,Rep_Targets!$A$2:$D$9,4,FALSE),0)</f>
        <v/>
      </c>
      <c r="G398">
        <f>IF(F398=0,"NO QUOTA FOUND",IF(C398&gt;=F398*0.25,"On Track","Behind"))</f>
        <v/>
      </c>
      <c r="H398">
        <f>C398*IF(B398="West",0.95,1)</f>
        <v/>
      </c>
    </row>
    <row r="399">
      <c r="A399">
        <f>Raw_Bookings!A400</f>
        <v/>
      </c>
      <c r="B399">
        <f>IF(TRIM(LOWER(Raw_Bookings!D400))="east","East",IF(TRIM(LOWER(Raw_Bookings!D400))="west","West",IF(TRIM(LOWER(Raw_Bookings!D400))="central","Central",IF(TRIM(LOWER(Raw_Bookings!D400))="south","South","UNKNOWN"))))</f>
        <v/>
      </c>
      <c r="C399">
        <f>IFERROR(Raw_Bookings!H400*VLOOKUP(Raw_Bookings!I400,Rates!$A$2:$B$6,2,FALSE),Raw_Bookings!H400)</f>
        <v/>
      </c>
      <c r="D399">
        <f>IF(Raw_Bookings!F400="New License","NEW",IF(OR(Raw_Bookings!F400="Renewal",Raw_Bookings!F400="Support"),"RECURRING","OTHER"))</f>
        <v/>
      </c>
      <c r="E399">
        <f>IFERROR(VLOOKUP(Raw_Bookings!G400,Rep_Master!$A$2:$D$18,3,FALSE),"")</f>
        <v/>
      </c>
      <c r="F399">
        <f>IFERROR(VLOOKUP(E399,Rep_Targets!$A$2:$D$9,4,FALSE),0)</f>
        <v/>
      </c>
      <c r="G399">
        <f>IF(F399=0,"NO QUOTA FOUND",IF(C399&gt;=F399*0.25,"On Track","Behind"))</f>
        <v/>
      </c>
      <c r="H399">
        <f>C399*IF(B399="West",0.95,1)</f>
        <v/>
      </c>
    </row>
    <row r="400">
      <c r="A400">
        <f>Raw_Bookings!A401</f>
        <v/>
      </c>
      <c r="B400">
        <f>IF(TRIM(LOWER(Raw_Bookings!D401))="east","East",IF(TRIM(LOWER(Raw_Bookings!D401))="west","West",IF(TRIM(LOWER(Raw_Bookings!D401))="central","Central",IF(TRIM(LOWER(Raw_Bookings!D401))="south","South","UNKNOWN"))))</f>
        <v/>
      </c>
      <c r="C400">
        <f>IFERROR(Raw_Bookings!H401*VLOOKUP(Raw_Bookings!I401,Rates!$A$2:$B$6,2,FALSE),Raw_Bookings!H401)</f>
        <v/>
      </c>
      <c r="D400">
        <f>IF(Raw_Bookings!F401="New License","NEW",IF(OR(Raw_Bookings!F401="Renewal",Raw_Bookings!F401="Support"),"RECURRING","OTHER"))</f>
        <v/>
      </c>
      <c r="E400">
        <f>IFERROR(VLOOKUP(Raw_Bookings!G401,Rep_Master!$A$2:$D$18,3,FALSE),"")</f>
        <v/>
      </c>
      <c r="F400">
        <f>IFERROR(VLOOKUP(E400,Rep_Targets!$A$2:$D$9,4,FALSE),0)</f>
        <v/>
      </c>
      <c r="G400">
        <f>IF(F400=0,"NO QUOTA FOUND",IF(C400&gt;=F400*0.25,"On Track","Behind"))</f>
        <v/>
      </c>
      <c r="H400">
        <f>C400*IF(B400="West",0.95,1)</f>
        <v/>
      </c>
    </row>
    <row r="401">
      <c r="A401">
        <f>Raw_Bookings!A402</f>
        <v/>
      </c>
      <c r="B401">
        <f>IF(TRIM(LOWER(Raw_Bookings!D402))="east","East",IF(TRIM(LOWER(Raw_Bookings!D402))="west","West",IF(TRIM(LOWER(Raw_Bookings!D402))="central","Central",IF(TRIM(LOWER(Raw_Bookings!D402))="south","South","UNKNOWN"))))</f>
        <v/>
      </c>
      <c r="C401">
        <f>IFERROR(Raw_Bookings!H402*VLOOKUP(Raw_Bookings!I402,Rates!$A$2:$B$6,2,FALSE),Raw_Bookings!H402)</f>
        <v/>
      </c>
      <c r="D401">
        <f>IF(Raw_Bookings!F402="New License","NEW",IF(OR(Raw_Bookings!F402="Renewal",Raw_Bookings!F402="Support"),"RECURRING","OTHER"))</f>
        <v/>
      </c>
      <c r="E401">
        <f>IFERROR(VLOOKUP(Raw_Bookings!G402,Rep_Master!$A$2:$D$18,3,FALSE),"")</f>
        <v/>
      </c>
      <c r="F401">
        <f>IFERROR(VLOOKUP(E401,Rep_Targets!$A$2:$D$9,4,FALSE),0)</f>
        <v/>
      </c>
      <c r="G401">
        <f>IF(F401=0,"NO QUOTA FOUND",IF(C401&gt;=F401*0.25,"On Track","Behind"))</f>
        <v/>
      </c>
      <c r="H401">
        <f>C401*IF(B401="West",0.95,1)</f>
        <v/>
      </c>
    </row>
    <row r="402">
      <c r="A402">
        <f>Raw_Bookings!A403</f>
        <v/>
      </c>
      <c r="B402">
        <f>IF(TRIM(LOWER(Raw_Bookings!D403))="east","East",IF(TRIM(LOWER(Raw_Bookings!D403))="west","West",IF(TRIM(LOWER(Raw_Bookings!D403))="central","Central",IF(TRIM(LOWER(Raw_Bookings!D403))="south","South","UNKNOWN"))))</f>
        <v/>
      </c>
      <c r="C402">
        <f>IFERROR(Raw_Bookings!H403*VLOOKUP(Raw_Bookings!I403,Rates!$A$2:$B$6,2,FALSE),Raw_Bookings!H403)</f>
        <v/>
      </c>
      <c r="D402">
        <f>IF(Raw_Bookings!F403="New License","NEW",IF(OR(Raw_Bookings!F403="Renewal",Raw_Bookings!F403="Support"),"RECURRING","OTHER"))</f>
        <v/>
      </c>
      <c r="E402">
        <f>IFERROR(VLOOKUP(Raw_Bookings!G403,Rep_Master!$A$2:$D$18,3,FALSE),"")</f>
        <v/>
      </c>
      <c r="F402">
        <f>IFERROR(VLOOKUP(E402,Rep_Targets!$A$2:$D$9,4,FALSE),0)</f>
        <v/>
      </c>
      <c r="G402">
        <f>IF(F402=0,"NO QUOTA FOUND",IF(C402&gt;=F402*0.25,"On Track","Behind"))</f>
        <v/>
      </c>
      <c r="H402">
        <f>C402*IF(B402="West",0.95,1)</f>
        <v/>
      </c>
    </row>
    <row r="403">
      <c r="A403">
        <f>Raw_Bookings!A404</f>
        <v/>
      </c>
      <c r="B403">
        <f>IF(TRIM(LOWER(Raw_Bookings!D404))="east","East",IF(TRIM(LOWER(Raw_Bookings!D404))="west","West",IF(TRIM(LOWER(Raw_Bookings!D404))="central","Central",IF(TRIM(LOWER(Raw_Bookings!D404))="south","South","UNKNOWN"))))</f>
        <v/>
      </c>
      <c r="C403">
        <f>IFERROR(Raw_Bookings!H404*VLOOKUP(Raw_Bookings!I404,Rates!$A$2:$B$6,2,FALSE),Raw_Bookings!H404)</f>
        <v/>
      </c>
      <c r="D403">
        <f>IF(Raw_Bookings!F404="New License","NEW",IF(OR(Raw_Bookings!F404="Renewal",Raw_Bookings!F404="Support"),"RECURRING","OTHER"))</f>
        <v/>
      </c>
      <c r="E403">
        <f>IFERROR(VLOOKUP(Raw_Bookings!G404,Rep_Master!$A$2:$D$18,3,FALSE),"")</f>
        <v/>
      </c>
      <c r="F403">
        <f>IFERROR(VLOOKUP(E403,Rep_Targets!$A$2:$D$9,4,FALSE),0)</f>
        <v/>
      </c>
      <c r="G403">
        <f>IF(F403=0,"NO QUOTA FOUND",IF(C403&gt;=F403*0.25,"On Track","Behind"))</f>
        <v/>
      </c>
      <c r="H403">
        <f>C403*IF(B403="West",0.95,1)</f>
        <v/>
      </c>
    </row>
    <row r="404">
      <c r="A404">
        <f>Raw_Bookings!A405</f>
        <v/>
      </c>
      <c r="B404">
        <f>IF(TRIM(LOWER(Raw_Bookings!D405))="east","East",IF(TRIM(LOWER(Raw_Bookings!D405))="west","West",IF(TRIM(LOWER(Raw_Bookings!D405))="central","Central",IF(TRIM(LOWER(Raw_Bookings!D405))="south","South","UNKNOWN"))))</f>
        <v/>
      </c>
      <c r="C404">
        <f>IFERROR(Raw_Bookings!H405*VLOOKUP(Raw_Bookings!I405,Rates!$A$2:$B$6,2,FALSE),Raw_Bookings!H405)</f>
        <v/>
      </c>
      <c r="D404">
        <f>IF(Raw_Bookings!F405="New License","NEW",IF(OR(Raw_Bookings!F405="Renewal",Raw_Bookings!F405="Support"),"RECURRING","OTHER"))</f>
        <v/>
      </c>
      <c r="E404">
        <f>IFERROR(VLOOKUP(Raw_Bookings!G405,Rep_Master!$A$2:$D$18,3,FALSE),"")</f>
        <v/>
      </c>
      <c r="F404">
        <f>IFERROR(VLOOKUP(E404,Rep_Targets!$A$2:$D$9,4,FALSE),0)</f>
        <v/>
      </c>
      <c r="G404">
        <f>IF(F404=0,"NO QUOTA FOUND",IF(C404&gt;=F404*0.25,"On Track","Behind"))</f>
        <v/>
      </c>
      <c r="H404">
        <f>C404*IF(B404="West",0.95,1)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REGIONAL BOOKINGS SUMMARY - FINAL - v7</t>
        </is>
      </c>
    </row>
    <row r="3">
      <c r="A3" s="2" t="inlineStr">
        <is>
          <t>Region</t>
        </is>
      </c>
      <c r="B3" s="2" t="inlineStr">
        <is>
          <t>NEW</t>
        </is>
      </c>
      <c r="C3" s="2" t="inlineStr">
        <is>
          <t>RECURRING</t>
        </is>
      </c>
      <c r="D3" s="2" t="inlineStr">
        <is>
          <t>OTHER</t>
        </is>
      </c>
      <c r="E3" s="2" t="inlineStr">
        <is>
          <t>Total</t>
        </is>
      </c>
      <c r="F3" s="2" t="inlineStr">
        <is>
          <t>% of Grand Total</t>
        </is>
      </c>
    </row>
    <row r="4">
      <c r="A4" t="inlineStr">
        <is>
          <t>East</t>
        </is>
      </c>
      <c r="B4">
        <f>SUMIFS(Calc!$H$2:$H404,Calc!$B$2:$B404,$A4,Calc!$D$2:$D404,B$3)</f>
        <v/>
      </c>
      <c r="C4">
        <f>SUMIFS(Calc!$H$2:$H404,Calc!$B$2:$B404,$A4,Calc!$D$2:$D404,C$3)</f>
        <v/>
      </c>
      <c r="D4">
        <f>SUMIFS(Calc!$H$2:$H404,Calc!$B$2:$B404,$A4,Calc!$D$2:$D404,D$3)</f>
        <v/>
      </c>
      <c r="E4">
        <f>SUM(B4:D4)</f>
        <v/>
      </c>
      <c r="F4" s="7">
        <f>IF($E$9=0,0,E4/$E$9)</f>
        <v/>
      </c>
    </row>
    <row r="5">
      <c r="A5" t="inlineStr">
        <is>
          <t>West</t>
        </is>
      </c>
      <c r="B5">
        <f>SUMIFS(Calc!$H$2:$H404,Calc!$B$2:$B404,$A5,Calc!$D$2:$D404,B$3)</f>
        <v/>
      </c>
      <c r="C5">
        <f>SUMIFS(Calc!$H$2:$H404,Calc!$B$2:$B404,$A5,Calc!$D$2:$D404,C$3)</f>
        <v/>
      </c>
      <c r="D5">
        <f>SUMIFS(Calc!$H$2:$H404,Calc!$B$2:$B404,$A5,Calc!$D$2:$D404,D$3)</f>
        <v/>
      </c>
      <c r="E5">
        <f>SUM(B5:D5)</f>
        <v/>
      </c>
      <c r="F5" s="7">
        <f>IF($E$9=0,0,E5/$E$9)</f>
        <v/>
      </c>
    </row>
    <row r="6">
      <c r="A6" t="inlineStr">
        <is>
          <t>Central</t>
        </is>
      </c>
      <c r="B6">
        <f>SUMIFS(Calc!$H$2:$H404,Calc!$B$2:$B404,$A6,Calc!$D$2:$D404,B$3)</f>
        <v/>
      </c>
      <c r="C6">
        <f>SUMIFS(Calc!$H$2:$H404,Calc!$B$2:$B404,$A6,Calc!$D$2:$D404,C$3)</f>
        <v/>
      </c>
      <c r="D6">
        <f>SUMIFS(Calc!$H$2:$H404,Calc!$B$2:$B404,$A6,Calc!$D$2:$D404,D$3)</f>
        <v/>
      </c>
      <c r="E6">
        <f>SUM(B6:D6)</f>
        <v/>
      </c>
      <c r="F6" s="7">
        <f>IF($E$9=0,0,E6/$E$9)</f>
        <v/>
      </c>
    </row>
    <row r="7">
      <c r="A7" t="inlineStr">
        <is>
          <t>South</t>
        </is>
      </c>
      <c r="B7">
        <f>SUMIFS(Calc!$H$2:$H404,Calc!$B$2:$B404,$A7,Calc!$D$2:$D404,B$3)</f>
        <v/>
      </c>
      <c r="C7">
        <f>SUMIFS(Calc!$H$2:$H404,Calc!$B$2:$B404,$A7,Calc!$D$2:$D404,C$3)</f>
        <v/>
      </c>
      <c r="D7">
        <f>SUMIFS(Calc!$H$2:$H404,Calc!$B$2:$B404,$A7,Calc!$D$2:$D404,D$3)</f>
        <v/>
      </c>
      <c r="E7">
        <f>SUM(B7:D7)</f>
        <v/>
      </c>
      <c r="F7" s="7">
        <f>IF($E$9=0,0,E7/$E$9)</f>
        <v/>
      </c>
    </row>
    <row r="9">
      <c r="A9" t="inlineStr">
        <is>
          <t>GRAND TOTAL</t>
        </is>
      </c>
      <c r="E9" s="8">
        <f>SUM(E4:E7)+5000</f>
        <v/>
      </c>
      <c r="G9" t="inlineStr">
        <is>
          <t>true-up per Finance (Jan) - DO NOT REMOVE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2026-07-29T20:01:27Z</dcterms:created>
  <dcterms:modified xmlns:dcterms="http://purl.org/dc/terms/" xmlns:xsi="http://www.w3.org/2001/XMLSchema-instance" xsi:type="dcterms:W3CDTF">2026-07-29T20:01:27Z</dcterms:modified>
</cp:coreProperties>
</file>